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xr:revisionPtr revIDLastSave="0" documentId="8_{6A16F2A0-112A-924D-AC93-51EAD2553D9C}" xr6:coauthVersionLast="47" xr6:coauthVersionMax="47" xr10:uidLastSave="{00000000-0000-0000-0000-000000000000}"/>
  <bookViews>
    <workbookView xWindow="0" yWindow="0" windowWidth="16384" windowHeight="8192" tabRatio="500" activeTab="3" xr2:uid="{00000000-000D-0000-FFFF-FFFF00000000}"/>
  </bookViews>
  <sheets>
    <sheet name="Executive Dashboard" sheetId="1" r:id="rId1"/>
    <sheet name="Source Data" sheetId="2" r:id="rId2"/>
    <sheet name="Geographic Data" sheetId="3" r:id="rId3"/>
    <sheet name="Analysis" sheetId="4" r:id="rId4"/>
    <sheet name="KPI Summary" sheetId="5" r:id="rId5"/>
    <sheet name="Data Dictionary" sheetId="6" r:id="rId6"/>
    <sheet name="Source Register" sheetId="7" r:id="rId7"/>
    <sheet name="Dashboard Data" sheetId="8" state="hidden" r:id="rId8"/>
  </sheets>
  <definedNames>
    <definedName name="_xlnm.Print_Area" localSheetId="5">'Data Dictionary'!$A$2:$D$14</definedName>
    <definedName name="_xlnm.Print_Area" localSheetId="4">'KPI Summary'!$A$2:$E$17</definedName>
    <definedName name="_xlnm.Print_Area" localSheetId="1">'Source Data'!$A$2:$H$21</definedName>
    <definedName name="_xlnm.Print_Area" localSheetId="6">'Source Register'!$A$2:$D$10</definedName>
    <definedName name="_xlnm.Print_Area" localSheetId="2">'Geographic Data'!$A$2:$H$13</definedName>
  </definedName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5" i="4" l="1"/>
  <c r="B15" i="4"/>
  <c r="D15" i="4"/>
  <c r="B6" i="8"/>
  <c r="A6" i="8"/>
  <c r="C14" i="4"/>
  <c r="B14" i="4"/>
  <c r="D14" i="4"/>
  <c r="B5" i="8"/>
  <c r="A5" i="8"/>
  <c r="C12" i="4"/>
  <c r="B12" i="4"/>
  <c r="D12" i="4"/>
  <c r="B4" i="8"/>
  <c r="A4" i="8"/>
  <c r="C11" i="4"/>
  <c r="B11" i="4"/>
  <c r="D11" i="4"/>
  <c r="B3" i="8"/>
  <c r="A3" i="8"/>
  <c r="C10" i="4"/>
  <c r="B10" i="4"/>
  <c r="D10" i="4"/>
  <c r="B2" i="8"/>
  <c r="A2" i="8"/>
  <c r="C16" i="4"/>
  <c r="C15" i="5"/>
  <c r="B15" i="5"/>
  <c r="A15" i="5"/>
  <c r="D14" i="5"/>
  <c r="C14" i="5"/>
  <c r="B14" i="5"/>
  <c r="A14" i="5"/>
  <c r="D13" i="5"/>
  <c r="C13" i="5"/>
  <c r="B13" i="5"/>
  <c r="A13" i="5"/>
  <c r="C13" i="4"/>
  <c r="B13" i="4"/>
  <c r="D13" i="4"/>
  <c r="D12" i="5"/>
  <c r="C12" i="5"/>
  <c r="B12" i="5"/>
  <c r="A12" i="5"/>
  <c r="D11" i="5"/>
  <c r="C11" i="5"/>
  <c r="B11" i="5"/>
  <c r="A11" i="5"/>
  <c r="D10" i="5"/>
  <c r="C10" i="5"/>
  <c r="B10" i="5"/>
  <c r="A10" i="5"/>
  <c r="D9" i="5"/>
  <c r="C9" i="5"/>
  <c r="B9" i="5"/>
  <c r="A9" i="5"/>
  <c r="C32" i="4"/>
  <c r="B32" i="4"/>
  <c r="D32" i="4"/>
  <c r="A32" i="4"/>
  <c r="C31" i="4"/>
  <c r="B31" i="4"/>
  <c r="D31" i="4"/>
  <c r="A31" i="4"/>
  <c r="C30" i="4"/>
  <c r="B30" i="4"/>
  <c r="D30" i="4"/>
  <c r="A30" i="4"/>
  <c r="C29" i="4"/>
  <c r="B29" i="4"/>
  <c r="D29" i="4"/>
  <c r="A29" i="4"/>
  <c r="C28" i="4"/>
  <c r="B28" i="4"/>
  <c r="D28" i="4"/>
  <c r="A28" i="4"/>
  <c r="N7" i="1"/>
  <c r="L7" i="1"/>
  <c r="J7" i="1"/>
  <c r="H7" i="1"/>
  <c r="F7" i="1"/>
  <c r="D7" i="1"/>
  <c r="B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9" authorId="0" shapeId="0" xr:uid="{00000000-0006-0000-0100-000001000000}">
      <text>
        <r>
          <rPr>
            <sz val="10"/>
            <rFont val="Arial"/>
            <family val="2"/>
          </rPr>
          <t>Source: Toyota FY2026 Financial Summary; p.2, consolidated financial results.
Period: FY2026.</t>
        </r>
      </text>
    </comment>
    <comment ref="C10" authorId="0" shapeId="0" xr:uid="{00000000-0006-0000-0100-000002000000}">
      <text>
        <r>
          <rPr>
            <sz val="10"/>
            <rFont val="Arial"/>
            <family val="2"/>
          </rPr>
          <t>Source: Toyota FY2026 Financial Summary; p.2, comparative consolidated financial results.
Period: FY2025.</t>
        </r>
      </text>
    </comment>
    <comment ref="C11" authorId="0" shapeId="0" xr:uid="{00000000-0006-0000-0100-000003000000}">
      <text>
        <r>
          <rPr>
            <sz val="10"/>
            <rFont val="Arial"/>
            <family val="2"/>
          </rPr>
          <t>Source: Toyota FY2026 Financial Summary; p.2, consolidated financial results.
Period: FY2026.</t>
        </r>
      </text>
    </comment>
    <comment ref="C12" authorId="0" shapeId="0" xr:uid="{00000000-0006-0000-0100-000004000000}">
      <text>
        <r>
          <rPr>
            <sz val="10"/>
            <rFont val="Arial"/>
            <family val="2"/>
          </rPr>
          <t>Source: Toyota FY2026 Financial Summary; p.2, comparative consolidated financial results.
Period: FY2025.</t>
        </r>
      </text>
    </comment>
    <comment ref="C13" authorId="0" shapeId="0" xr:uid="{00000000-0006-0000-0100-000005000000}">
      <text>
        <r>
          <rPr>
            <sz val="10"/>
            <rFont val="Arial"/>
            <family val="2"/>
          </rPr>
          <t>Source: Toyota FY2026 Financial Summary; p.2, consolidated financial results.
Period: FY2026.</t>
        </r>
      </text>
    </comment>
    <comment ref="C14" authorId="0" shapeId="0" xr:uid="{00000000-0006-0000-0100-000006000000}">
      <text>
        <r>
          <rPr>
            <sz val="10"/>
            <rFont val="Arial"/>
            <family val="2"/>
          </rPr>
          <t>Source: Toyota FY2026 Financial Summary; p.2, comparative consolidated financial results.
Period: FY2025.</t>
        </r>
      </text>
    </comment>
    <comment ref="C15" authorId="0" shapeId="0" xr:uid="{00000000-0006-0000-0100-000007000000}">
      <text>
        <r>
          <rPr>
            <sz val="10"/>
            <rFont val="Arial"/>
            <family val="2"/>
          </rPr>
          <t>Source: Toyota FY2026 Financial Summary; p.2, company-reported ratio.
Period: FY2026.</t>
        </r>
      </text>
    </comment>
    <comment ref="C16" authorId="0" shapeId="0" xr:uid="{00000000-0006-0000-0100-000008000000}">
      <text>
        <r>
          <rPr>
            <sz val="10"/>
            <rFont val="Arial"/>
            <family val="2"/>
          </rPr>
          <t>Source: Toyota FY2026 Financial Summary; p.2, company-reported ratio.
Period: FY2025.</t>
        </r>
      </text>
    </comment>
    <comment ref="C17" authorId="0" shapeId="0" xr:uid="{00000000-0006-0000-0100-000009000000}">
      <text>
        <r>
          <rPr>
            <sz val="10"/>
            <rFont val="Arial"/>
            <family val="2"/>
          </rPr>
          <t>Source: Toyota FY2026 Financial Summary; p.2, consolidated cash flows.
Period: FY2026.</t>
        </r>
      </text>
    </comment>
    <comment ref="C18" authorId="0" shapeId="0" xr:uid="{00000000-0006-0000-0100-00000A000000}">
      <text>
        <r>
          <rPr>
            <sz val="10"/>
            <rFont val="Arial"/>
            <family val="2"/>
          </rPr>
          <t>Source: Toyota FY2026 Financial Summary; p.2, comparative cash flows.
Period: FY2025.</t>
        </r>
      </text>
    </comment>
    <comment ref="C19" authorId="0" shapeId="0" xr:uid="{00000000-0006-0000-0100-00000B000000}">
      <text>
        <r>
          <rPr>
            <sz val="10"/>
            <rFont val="Arial"/>
            <family val="2"/>
          </rPr>
          <t>Source: Toyota FY2026 Financial Summary; p.2, consolidated cash flows.
Period: FY2026.</t>
        </r>
      </text>
    </comment>
    <comment ref="C20" authorId="0" shapeId="0" xr:uid="{00000000-0006-0000-0100-00000C000000}">
      <text>
        <r>
          <rPr>
            <sz val="10"/>
            <rFont val="Arial"/>
            <family val="2"/>
          </rPr>
          <t>Source: Toyota FY2026 Financial Summary; p.2, comparative cash flows.
Period: FY2025.</t>
        </r>
      </text>
    </comment>
    <comment ref="C21" authorId="0" shapeId="0" xr:uid="{00000000-0006-0000-0100-00000D000000}">
      <text>
        <r>
          <rPr>
            <sz val="10"/>
            <rFont val="Arial"/>
            <family val="2"/>
          </rPr>
          <t>Source: Toyota FY2026 Financial Summary; p.2, financial-results narrative.
Period: FY2026.</t>
        </r>
      </text>
    </comment>
  </commentList>
</comments>
</file>

<file path=xl/sharedStrings.xml><?xml version="1.0" encoding="utf-8"?>
<sst xmlns="http://schemas.openxmlformats.org/spreadsheetml/2006/main" count="260" uniqueCount="122">
  <si>
    <t>TOYOTA MOTOR CORPORATION</t>
  </si>
  <si>
    <t>Evidence-Traceable Analytics</t>
  </si>
  <si>
    <t>FY2026 Executive Disclosure Dashboard  ·  Fiscal Year Ended March 31, 2026  ·  Consolidated IFRS</t>
  </si>
  <si>
    <t>Source: Toyota FY2026 Financial Summary (SEC EDGAR filing)</t>
  </si>
  <si>
    <t>SALES REVENUES</t>
  </si>
  <si>
    <t>OPERATING INCOME</t>
  </si>
  <si>
    <t>OPERATING MARGIN</t>
  </si>
  <si>
    <t>NET INCOME</t>
  </si>
  <si>
    <t>OPERATING CASH FLOW</t>
  </si>
  <si>
    <t>CASH &amp; EQUIVALENTS</t>
  </si>
  <si>
    <t>VEHICLE UNIT SALES</t>
  </si>
  <si>
    <t>+5.5% YoY</t>
  </si>
  <si>
    <t>-21.5% YoY</t>
  </si>
  <si>
    <t>-2.6 pts YoY</t>
  </si>
  <si>
    <t>-19.2% YoY</t>
  </si>
  <si>
    <t>+48.0% YoY</t>
  </si>
  <si>
    <t>+40.9% YoY</t>
  </si>
  <si>
    <t>FY2026</t>
  </si>
  <si>
    <t>EXECUTIVE READOUT</t>
  </si>
  <si>
    <t>MARGIN PRESSURE</t>
  </si>
  <si>
    <t>NORTH AMERICA</t>
  </si>
  <si>
    <t>CASH RESILIENCE</t>
  </si>
  <si>
    <t>Revenue grew 5.5%, but operating income declined 21.5% and margin fell to 7.4%.</t>
  </si>
  <si>
    <t>Revenue reached ¥21,079.6bn, but the region reported a ¥192.5bn operating loss.</t>
  </si>
  <si>
    <t>Operating cash flow reached ¥5,472.9bn and cash rose to ¥12,659.6bn, up 40.9%.</t>
  </si>
  <si>
    <t>PERFORMANCE TRENDS</t>
  </si>
  <si>
    <t>GEOGRAPHIC PROFITABILITY &amp; YEAR-OVER-YEAR CHANGE</t>
  </si>
  <si>
    <t>Every KPI reconciles to a primary source document — no fabricated or interpolated figures.  Source: Toyota FY2026 Financial Summary (SEC EDGAR filing).  Prepared by Daniel Ojo.</t>
  </si>
  <si>
    <t>TOYOTA MOTOR CORPORATION — SOURCE DATA</t>
  </si>
  <si>
    <t>Official FY2026 / FY2025 consolidated disclosure inputs</t>
  </si>
  <si>
    <t>(JPY in millions except volume)</t>
  </si>
  <si>
    <t>Fiscal Year</t>
  </si>
  <si>
    <t>Metric</t>
  </si>
  <si>
    <t>Value</t>
  </si>
  <si>
    <t>Unit</t>
  </si>
  <si>
    <t>Basis</t>
  </si>
  <si>
    <t>Source Document</t>
  </si>
  <si>
    <t>Page / Section</t>
  </si>
  <si>
    <t>Source URL</t>
  </si>
  <si>
    <t>Sales revenues</t>
  </si>
  <si>
    <t>JPY million</t>
  </si>
  <si>
    <t>Consolidated IFRS</t>
  </si>
  <si>
    <t>Toyota FY2026 Financial Summary</t>
  </si>
  <si>
    <t>p.2, consolidated financial results</t>
  </si>
  <si>
    <t>https://www.sec.gov/Archives/edgar/data/1094517/000119312526213363/d125424dex991.htm</t>
  </si>
  <si>
    <t>FY2025</t>
  </si>
  <si>
    <t>p.2, comparative consolidated financial results</t>
  </si>
  <si>
    <t>Operating income</t>
  </si>
  <si>
    <t>Net income attributable to Toyota</t>
  </si>
  <si>
    <t>Operating income margin</t>
  </si>
  <si>
    <t>%</t>
  </si>
  <si>
    <t>p.2, company-reported ratio</t>
  </si>
  <si>
    <t>Cash flow from operating activities</t>
  </si>
  <si>
    <t>p.2, consolidated cash flows</t>
  </si>
  <si>
    <t>p.2, comparative cash flows</t>
  </si>
  <si>
    <t>Cash and cash equivalents</t>
  </si>
  <si>
    <t>Consolidated vehicle unit sales</t>
  </si>
  <si>
    <t>Million units</t>
  </si>
  <si>
    <t>Consolidated global volume</t>
  </si>
  <si>
    <t>p.2, financial-results narrative</t>
  </si>
  <si>
    <t>TOYOTA MOTOR CORPORATION — GEOGRAPHIC DATA</t>
  </si>
  <si>
    <t>FY2026 regional disclosure inputs</t>
  </si>
  <si>
    <t>(JPY in billions)</t>
  </si>
  <si>
    <t>Region</t>
  </si>
  <si>
    <t>Sales Revenue</t>
  </si>
  <si>
    <t>Operating Income</t>
  </si>
  <si>
    <t>Japan</t>
  </si>
  <si>
    <t>JPY billion</t>
  </si>
  <si>
    <t>p.3, Geographic Information</t>
  </si>
  <si>
    <t>North America</t>
  </si>
  <si>
    <t>Europe</t>
  </si>
  <si>
    <t>Asia</t>
  </si>
  <si>
    <t>Other regions</t>
  </si>
  <si>
    <t>TOYOTA MOTOR CORPORATION — ANALYSIS</t>
  </si>
  <si>
    <t>Source-linked calculations for executive dashboard</t>
  </si>
  <si>
    <t>(JPY in millions unless noted)</t>
  </si>
  <si>
    <t>CONSOLIDATED PERFORMANCE</t>
  </si>
  <si>
    <t>FY2025A</t>
  </si>
  <si>
    <t>FY2026A</t>
  </si>
  <si>
    <t>YoY Change</t>
  </si>
  <si>
    <t>Net income</t>
  </si>
  <si>
    <t>Operating margin</t>
  </si>
  <si>
    <t>Operating cash flow</t>
  </si>
  <si>
    <t>Vehicle unit sales</t>
  </si>
  <si>
    <t>n/a</t>
  </si>
  <si>
    <t>GEOGRAPHIC PERFORMANCE — FY2026</t>
  </si>
  <si>
    <t>Operating Margin</t>
  </si>
  <si>
    <t>TOYOTA — KPI SUMMARY</t>
  </si>
  <si>
    <t>Source-linked executive measures and calculated comparisons</t>
  </si>
  <si>
    <t>(JPY in millions unless stated)</t>
  </si>
  <si>
    <t>Source Basis</t>
  </si>
  <si>
    <t>Official Toyota FY2026 Financial Summary</t>
  </si>
  <si>
    <t>TOYOTA — DATA DICTIONARY</t>
  </si>
  <si>
    <t>Metric definitions, units, and reporting basis</t>
  </si>
  <si>
    <t>(Disclosure-based dashboard)</t>
  </si>
  <si>
    <t>Field</t>
  </si>
  <si>
    <t>Definition</t>
  </si>
  <si>
    <t>Toyota consolidated sales revenues under IFRS.</t>
  </si>
  <si>
    <t>Toyota consolidated operating income under IFRS.</t>
  </si>
  <si>
    <t>Operating income divided by sales revenues, company-reported.</t>
  </si>
  <si>
    <t>Global consolidated vehicle unit sales.</t>
  </si>
  <si>
    <t>Consolidated volume</t>
  </si>
  <si>
    <t>Geographic revenue / operating income</t>
  </si>
  <si>
    <t>Sales revenue and operating income reported by geography.</t>
  </si>
  <si>
    <t>Geographic disclosure</t>
  </si>
  <si>
    <t>TOYOTA — SOURCE REGISTER</t>
  </si>
  <si>
    <t>Official disclosure URLs used for the audited dashboard source layer</t>
  </si>
  <si>
    <t>(Primary sources only)</t>
  </si>
  <si>
    <t>Reporting Period</t>
  </si>
  <si>
    <t>Primary Use</t>
  </si>
  <si>
    <t>URL</t>
  </si>
  <si>
    <t>FY2026, ended 31 March 2026</t>
  </si>
  <si>
    <t>Consolidated, cash-flow, and geographic metrics</t>
  </si>
  <si>
    <t>Toyota Financial Results Archive</t>
  </si>
  <si>
    <t>FY2021–FY2026 archive</t>
  </si>
  <si>
    <t>Official access point for current and historical materials</t>
  </si>
  <si>
    <t>https://global.toyota/en/ir/financial-results/archives/03.html</t>
  </si>
  <si>
    <t>🚘</t>
  </si>
  <si>
    <t>🚒</t>
  </si>
  <si>
    <t>🚔</t>
  </si>
  <si>
    <t>🚊</t>
  </si>
  <si>
    <t>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</si>
</sst>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¥0.00\T"/>
    <numFmt numFmtId="165" formatCode="0.0%"/>
    <numFmt numFmtId="166" formatCode="0.00&quot;M units&quot;"/>
    <numFmt numFmtId="167" formatCode="\¥#,##0.0;&quot;(¥&quot;#,##0.0\);\-"/>
    <numFmt numFmtId="168" formatCode="#,##0.0;\(#,##0.0\);\-"/>
    <numFmt numFmtId="169" formatCode="0.000"/>
  </numFmts>
  <fonts count="33" x14ac:knownFonts="1">
    <font>
      <sz val="11"/>
      <color theme="1"/>
      <name val="Calibri"/>
      <family val="2"/>
      <charset val="1"/>
    </font>
    <font>
      <sz val="1"/>
      <color rgb="FFFFFFFF"/>
      <name val="Arial"/>
      <charset val="1"/>
    </font>
    <font>
      <b/>
      <sz val="20"/>
      <color rgb="FFFFFFFF"/>
      <name val="Arial"/>
      <charset val="1"/>
    </font>
    <font>
      <b/>
      <sz val="12"/>
      <color rgb="FFEB0A1E"/>
      <name val="Arial"/>
      <charset val="1"/>
    </font>
    <font>
      <sz val="10.5"/>
      <color rgb="FF9AA0AC"/>
      <name val="Arial"/>
      <charset val="1"/>
    </font>
    <font>
      <sz val="8.5"/>
      <color rgb="FF9AA0AC"/>
      <name val="Arial"/>
      <charset val="1"/>
    </font>
    <font>
      <b/>
      <sz val="8.3000000000000007"/>
      <color rgb="FF9AA0AC"/>
      <name val="Arial"/>
      <charset val="1"/>
    </font>
    <font>
      <b/>
      <sz val="11"/>
      <color rgb="FFEB0A1E"/>
      <name val="Arial"/>
      <charset val="1"/>
    </font>
    <font>
      <b/>
      <sz val="9.5"/>
      <color rgb="FFEB0A1E"/>
      <name val="Arial"/>
      <charset val="1"/>
    </font>
    <font>
      <sz val="9.5"/>
      <color rgb="FFFFFFFF"/>
      <name val="Arial"/>
      <charset val="1"/>
    </font>
    <font>
      <b/>
      <sz val="16"/>
      <color rgb="FFFFFFFF"/>
      <name val="Arial"/>
      <charset val="1"/>
    </font>
    <font>
      <b/>
      <sz val="11"/>
      <color rgb="FF000000"/>
      <name val="Arial"/>
      <charset val="1"/>
    </font>
    <font>
      <i/>
      <sz val="10"/>
      <color rgb="FF6B7280"/>
      <name val="Arial"/>
      <charset val="1"/>
    </font>
    <font>
      <b/>
      <sz val="11"/>
      <color theme="0"/>
      <name val="Arial"/>
      <charset val="1"/>
    </font>
    <font>
      <sz val="11"/>
      <color theme="0"/>
      <name val="Calibri"/>
      <family val="2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sz val="12"/>
      <color theme="10"/>
      <name val="Calibri"/>
      <family val="2"/>
      <charset val="1"/>
    </font>
    <font>
      <sz val="10"/>
      <name val="Arial"/>
      <family val="2"/>
    </font>
    <font>
      <b/>
      <sz val="10"/>
      <color theme="0"/>
      <name val="Arial"/>
      <charset val="1"/>
    </font>
    <font>
      <sz val="10"/>
      <color rgb="FF008000"/>
      <name val="Arial"/>
      <charset val="1"/>
    </font>
    <font>
      <b/>
      <sz val="28"/>
      <color rgb="FFFFFFFF"/>
      <name val="Arial"/>
      <charset val="1"/>
    </font>
    <font>
      <b/>
      <sz val="12"/>
      <color rgb="FF3FBF7F"/>
      <name val="Arial"/>
      <charset val="1"/>
    </font>
    <font>
      <b/>
      <sz val="12"/>
      <color rgb="FF9AA0AC"/>
      <name val="Arial"/>
      <charset val="1"/>
    </font>
    <font>
      <b/>
      <sz val="12"/>
      <color rgb="FFFF6B6B"/>
      <name val="Arial"/>
      <charset val="1"/>
    </font>
    <font>
      <b/>
      <i/>
      <sz val="12"/>
      <color rgb="FF9AA0AC"/>
      <name val="Arial"/>
      <charset val="1"/>
    </font>
    <font>
      <sz val="48"/>
      <color rgb="FFFF0000"/>
      <name val="Calibri"/>
      <family val="2"/>
      <charset val="1"/>
    </font>
    <font>
      <b/>
      <sz val="72"/>
      <color rgb="FFFF0000"/>
      <name val="Calibri"/>
      <family val="2"/>
      <charset val="1"/>
    </font>
    <font>
      <sz val="10"/>
      <color rgb="FF000000"/>
      <name val="Arial"/>
    </font>
    <font>
      <b/>
      <sz val="10"/>
      <color theme="0"/>
      <name val="Arial"/>
    </font>
    <font>
      <i/>
      <sz val="10"/>
      <color rgb="FF6B7280"/>
      <name val="Arial"/>
    </font>
    <font>
      <b/>
      <sz val="11"/>
      <color rgb="FF000000"/>
      <name val="Arial"/>
    </font>
    <font>
      <b/>
      <sz val="16"/>
      <color rgb="FFFFFFFF"/>
      <name val="Arial"/>
    </font>
  </fonts>
  <fills count="7">
    <fill>
      <patternFill patternType="none"/>
    </fill>
    <fill>
      <patternFill patternType="gray125"/>
    </fill>
    <fill>
      <patternFill patternType="solid">
        <fgColor rgb="FF0F1114"/>
        <bgColor rgb="FF17191D"/>
      </patternFill>
    </fill>
    <fill>
      <patternFill patternType="solid">
        <fgColor rgb="FFEB0A1E"/>
        <bgColor rgb="FFFF0000"/>
      </patternFill>
    </fill>
    <fill>
      <patternFill patternType="solid">
        <fgColor rgb="FF17191D"/>
        <bgColor rgb="FF1D2025"/>
      </patternFill>
    </fill>
    <fill>
      <patternFill patternType="solid">
        <fgColor rgb="FF1D2025"/>
        <bgColor rgb="FF17191D"/>
      </patternFill>
    </fill>
    <fill>
      <patternFill patternType="solid">
        <fgColor rgb="FFFF0000"/>
        <bgColor rgb="FFEB0A1E"/>
      </patternFill>
    </fill>
  </fills>
  <borders count="15">
    <border>
      <left/>
      <right/>
      <top/>
      <bottom/>
      <diagonal/>
    </border>
    <border>
      <left style="thick">
        <color rgb="FFEB0A1E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rgb="FFD1D5DB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ck">
        <color rgb="FFEB0A1E"/>
      </right>
      <top/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0" fillId="0" borderId="0" xfId="0" applyAlignment="1"/>
    <xf numFmtId="0" fontId="11" fillId="0" borderId="0" xfId="0" applyFont="1" applyAlignment="1"/>
    <xf numFmtId="0" fontId="12" fillId="0" borderId="0" xfId="0" applyFont="1" applyAlignment="1"/>
    <xf numFmtId="0" fontId="0" fillId="0" borderId="0" xfId="0" applyAlignment="1">
      <alignment horizontal="center"/>
    </xf>
    <xf numFmtId="0" fontId="13" fillId="6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vertical="center" wrapText="1"/>
    </xf>
    <xf numFmtId="0" fontId="14" fillId="6" borderId="2" xfId="0" applyFont="1" applyFill="1" applyBorder="1" applyAlignment="1"/>
    <xf numFmtId="0" fontId="15" fillId="0" borderId="2" xfId="0" applyFont="1" applyBorder="1" applyAlignment="1">
      <alignment horizontal="left" vertical="center" wrapText="1"/>
    </xf>
    <xf numFmtId="167" fontId="16" fillId="0" borderId="2" xfId="0" applyNumberFormat="1" applyFont="1" applyBorder="1" applyAlignment="1">
      <alignment horizontal="center"/>
    </xf>
    <xf numFmtId="0" fontId="15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vertical="center" wrapText="1"/>
    </xf>
    <xf numFmtId="0" fontId="17" fillId="0" borderId="2" xfId="0" applyFont="1" applyBorder="1" applyAlignment="1"/>
    <xf numFmtId="0" fontId="0" fillId="0" borderId="2" xfId="0" applyBorder="1" applyAlignment="1"/>
    <xf numFmtId="165" fontId="16" fillId="0" borderId="2" xfId="0" applyNumberFormat="1" applyFont="1" applyBorder="1" applyAlignment="1">
      <alignment horizontal="center"/>
    </xf>
    <xf numFmtId="168" fontId="16" fillId="0" borderId="2" xfId="0" applyNumberFormat="1" applyFont="1" applyBorder="1" applyAlignment="1">
      <alignment horizontal="center"/>
    </xf>
    <xf numFmtId="0" fontId="19" fillId="6" borderId="2" xfId="0" applyFont="1" applyFill="1" applyBorder="1" applyAlignment="1">
      <alignment horizontal="center"/>
    </xf>
    <xf numFmtId="167" fontId="20" fillId="0" borderId="2" xfId="0" applyNumberFormat="1" applyFont="1" applyBorder="1" applyAlignment="1">
      <alignment horizontal="center" vertical="center" wrapText="1"/>
    </xf>
    <xf numFmtId="165" fontId="15" fillId="0" borderId="2" xfId="0" applyNumberFormat="1" applyFont="1" applyBorder="1" applyAlignment="1">
      <alignment horizontal="center" vertical="center" wrapText="1"/>
    </xf>
    <xf numFmtId="165" fontId="20" fillId="0" borderId="2" xfId="0" applyNumberFormat="1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169" fontId="20" fillId="0" borderId="2" xfId="0" applyNumberFormat="1" applyFont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/>
    </xf>
    <xf numFmtId="0" fontId="14" fillId="6" borderId="5" xfId="0" applyFont="1" applyFill="1" applyBorder="1" applyAlignment="1">
      <alignment horizontal="center"/>
    </xf>
    <xf numFmtId="0" fontId="14" fillId="6" borderId="6" xfId="0" applyFont="1" applyFill="1" applyBorder="1" applyAlignment="1">
      <alignment horizontal="center"/>
    </xf>
    <xf numFmtId="0" fontId="15" fillId="0" borderId="7" xfId="0" applyFont="1" applyBorder="1" applyAlignment="1">
      <alignment horizontal="left" vertical="center" wrapText="1"/>
    </xf>
    <xf numFmtId="0" fontId="15" fillId="0" borderId="8" xfId="0" applyFont="1" applyBorder="1" applyAlignment="1">
      <alignment horizontal="left" vertical="center" wrapText="1"/>
    </xf>
    <xf numFmtId="0" fontId="17" fillId="0" borderId="8" xfId="0" applyFont="1" applyBorder="1" applyAlignment="1"/>
    <xf numFmtId="0" fontId="0" fillId="0" borderId="9" xfId="0" applyBorder="1" applyAlignment="1"/>
    <xf numFmtId="0" fontId="0" fillId="0" borderId="10" xfId="0" applyBorder="1" applyAlignment="1"/>
    <xf numFmtId="165" fontId="0" fillId="0" borderId="0" xfId="0" applyNumberFormat="1"/>
    <xf numFmtId="0" fontId="10" fillId="6" borderId="0" xfId="0" applyFont="1" applyFill="1" applyBorder="1" applyAlignment="1">
      <alignment horizontal="left"/>
    </xf>
    <xf numFmtId="0" fontId="28" fillId="0" borderId="2" xfId="0" applyFont="1" applyBorder="1" applyAlignment="1">
      <alignment horizontal="center" vertical="center" wrapText="1"/>
    </xf>
    <xf numFmtId="0" fontId="29" fillId="6" borderId="2" xfId="0" applyFont="1" applyFill="1" applyBorder="1" applyAlignment="1">
      <alignment horizontal="center" vertical="center" wrapText="1"/>
    </xf>
    <xf numFmtId="0" fontId="30" fillId="0" borderId="0" xfId="0" applyFont="1"/>
    <xf numFmtId="0" fontId="31" fillId="0" borderId="0" xfId="0" applyFont="1"/>
    <xf numFmtId="0" fontId="32" fillId="6" borderId="0" xfId="0" applyFont="1" applyFill="1" applyAlignment="1">
      <alignment horizontal="left"/>
    </xf>
    <xf numFmtId="0" fontId="19" fillId="6" borderId="2" xfId="0" applyFont="1" applyFill="1" applyBorder="1" applyAlignment="1">
      <alignment vertical="center" wrapText="1"/>
    </xf>
    <xf numFmtId="0" fontId="19" fillId="6" borderId="3" xfId="0" applyFont="1" applyFill="1" applyBorder="1" applyAlignment="1">
      <alignment vertical="center" wrapText="1"/>
    </xf>
    <xf numFmtId="0" fontId="19" fillId="6" borderId="3" xfId="0" applyFont="1" applyFill="1" applyBorder="1" applyAlignment="1">
      <alignment vertical="center"/>
    </xf>
    <xf numFmtId="0" fontId="15" fillId="0" borderId="3" xfId="0" applyFont="1" applyBorder="1" applyAlignment="1">
      <alignment vertical="center" wrapText="1"/>
    </xf>
    <xf numFmtId="0" fontId="10" fillId="6" borderId="0" xfId="0" applyFont="1" applyFill="1" applyBorder="1" applyAlignment="1">
      <alignment horizontal="left"/>
    </xf>
    <xf numFmtId="0" fontId="17" fillId="0" borderId="12" xfId="0" applyFont="1" applyBorder="1" applyAlignment="1">
      <alignment horizontal="center"/>
    </xf>
    <xf numFmtId="0" fontId="17" fillId="0" borderId="13" xfId="0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0" fontId="1" fillId="3" borderId="0" xfId="0" applyFont="1" applyFill="1" applyBorder="1" applyAlignment="1">
      <alignment horizontal="left" vertical="center"/>
    </xf>
    <xf numFmtId="0" fontId="2" fillId="4" borderId="0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right"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0" applyFont="1" applyFill="1" applyBorder="1" applyAlignment="1">
      <alignment horizontal="right" vertical="center"/>
    </xf>
    <xf numFmtId="0" fontId="23" fillId="5" borderId="1" xfId="0" applyFont="1" applyFill="1" applyBorder="1" applyAlignment="1">
      <alignment horizontal="center" vertical="center"/>
    </xf>
    <xf numFmtId="164" fontId="21" fillId="5" borderId="1" xfId="0" applyNumberFormat="1" applyFont="1" applyFill="1" applyBorder="1" applyAlignment="1">
      <alignment horizontal="center" vertical="center"/>
    </xf>
    <xf numFmtId="165" fontId="21" fillId="5" borderId="1" xfId="0" applyNumberFormat="1" applyFont="1" applyFill="1" applyBorder="1" applyAlignment="1">
      <alignment horizontal="center" vertical="center"/>
    </xf>
    <xf numFmtId="166" fontId="21" fillId="5" borderId="1" xfId="0" applyNumberFormat="1" applyFont="1" applyFill="1" applyBorder="1" applyAlignment="1">
      <alignment horizontal="center" vertical="center"/>
    </xf>
    <xf numFmtId="0" fontId="23" fillId="5" borderId="1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0" fontId="22" fillId="5" borderId="11" xfId="0" applyFont="1" applyFill="1" applyBorder="1" applyAlignment="1">
      <alignment horizontal="center" vertical="center"/>
    </xf>
    <xf numFmtId="0" fontId="24" fillId="5" borderId="1" xfId="0" applyFont="1" applyFill="1" applyBorder="1" applyAlignment="1">
      <alignment horizontal="center" vertical="center"/>
    </xf>
    <xf numFmtId="0" fontId="25" fillId="4" borderId="0" xfId="0" applyFont="1" applyFill="1" applyBorder="1" applyAlignment="1">
      <alignment horizontal="left" vertical="center"/>
    </xf>
    <xf numFmtId="0" fontId="27" fillId="2" borderId="0" xfId="0" applyFont="1" applyFill="1" applyAlignment="1">
      <alignment horizontal="right" vertical="top"/>
    </xf>
    <xf numFmtId="0" fontId="27" fillId="2" borderId="0" xfId="0" applyFont="1" applyFill="1" applyAlignment="1">
      <alignment horizontal="center"/>
    </xf>
    <xf numFmtId="0" fontId="9" fillId="5" borderId="1" xfId="0" applyFont="1" applyFill="1" applyBorder="1" applyAlignment="1">
      <alignment horizontal="left" vertical="top" wrapText="1"/>
    </xf>
    <xf numFmtId="0" fontId="27" fillId="2" borderId="0" xfId="0" applyFont="1" applyFill="1" applyAlignment="1">
      <alignment horizontal="center" vertical="top"/>
    </xf>
    <xf numFmtId="0" fontId="26" fillId="2" borderId="0" xfId="0" applyFont="1" applyFill="1" applyAlignment="1">
      <alignment horizontal="center"/>
    </xf>
    <xf numFmtId="0" fontId="19" fillId="6" borderId="2" xfId="0" applyFont="1" applyFill="1" applyBorder="1" applyAlignment="1">
      <alignment horizontal="center"/>
    </xf>
    <xf numFmtId="0" fontId="19" fillId="6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DD3"/>
      <rgbColor rgb="FF5C5F66"/>
      <rgbColor rgb="FF9999FF"/>
      <rgbColor rgb="FFB0343F"/>
      <rgbColor rgb="FFFFFFCC"/>
      <rgbColor rgb="FFCCFFFF"/>
      <rgbColor rgb="FF660066"/>
      <rgbColor rgb="FFFF6B6B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4F81BD"/>
      <rgbColor rgb="FF3FBF7F"/>
      <rgbColor rgb="FF99CC00"/>
      <rgbColor rgb="FFFFCC00"/>
      <rgbColor rgb="FFFF9900"/>
      <rgbColor rgb="FFFF6600"/>
      <rgbColor rgb="FF6B7280"/>
      <rgbColor rgb="FF9AA0AC"/>
      <rgbColor rgb="FF0F1114"/>
      <rgbColor rgb="FF339966"/>
      <rgbColor rgb="FF17191D"/>
      <rgbColor rgb="FF1D2025"/>
      <rgbColor rgb="FFEB0A1E"/>
      <rgbColor rgb="FF8C4A50"/>
      <rgbColor rgb="FF333399"/>
      <rgbColor rgb="FF2B2F3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0" Type="http://schemas.openxmlformats.org/officeDocument/2006/relationships/styles" Target="styles.xml" /><Relationship Id="rId4" Type="http://schemas.openxmlformats.org/officeDocument/2006/relationships/worksheet" Target="worksheets/sheet4.xml" /><Relationship Id="rId9" Type="http://schemas.openxmlformats.org/officeDocument/2006/relationships/theme" Target="theme/theme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000" b="1" strike="noStrike" spc="-1">
                <a:solidFill>
                  <a:srgbClr val="FFFFFF"/>
                </a:solidFill>
                <a:latin typeface="Arial"/>
              </a:defRPr>
            </a:pPr>
            <a:r>
              <a:rPr lang="en-US" sz="1000" b="1" strike="noStrike" spc="-1">
                <a:solidFill>
                  <a:srgbClr val="FFFFFF"/>
                </a:solidFill>
                <a:latin typeface="Arial"/>
              </a:rPr>
              <a:t>Revenue vs Op. Income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"Sales Revenue (¥M)"</c:f>
              <c:strCache>
                <c:ptCount val="1"/>
                <c:pt idx="0">
                  <c:v>Sales Revenue (¥M)</c:v>
                </c:pt>
              </c:strCache>
            </c:strRef>
          </c:tx>
          <c:spPr>
            <a:solidFill>
              <a:srgbClr val="EB0A1E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750" b="0" strike="noStrike" spc="-1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'Dashboard Data'!$G$1:$G$2</c:f>
              <c:multiLvlStrCache>
                <c:ptCount val="1"/>
                <c:lvl>
                  <c:pt idx="0">
                    <c:v>FY2026A</c:v>
                  </c:pt>
                </c:lvl>
                <c:lvl>
                  <c:pt idx="0">
                    <c:v>FY2025A</c:v>
                  </c:pt>
                </c:lvl>
              </c:multiLvlStrCache>
            </c:multiLvlStrRef>
          </c:cat>
          <c:val>
            <c:numRef>
              <c:f>Analysis!$B$10:$C$10</c:f>
              <c:numCache>
                <c:formatCode>\¥#,##0.0;"(¥"#,##0.0\);\-</c:formatCode>
                <c:ptCount val="2"/>
                <c:pt idx="0">
                  <c:v>48036704</c:v>
                </c:pt>
                <c:pt idx="1">
                  <c:v>50684952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CB-3D4F-B5CA-2778FCB54221}"/>
            </c:ext>
          </c:extLst>
        </c:ser>
        <c:ser>
          <c:idx val="1"/>
          <c:order val="1"/>
          <c:tx>
            <c:strRef>
              <c:f>"Operating Income (¥M)"</c:f>
              <c:strCache>
                <c:ptCount val="1"/>
                <c:pt idx="0">
                  <c:v>Operating Income (¥M)</c:v>
                </c:pt>
              </c:strCache>
            </c:strRef>
          </c:tx>
          <c:spPr>
            <a:solidFill>
              <a:srgbClr val="C9CDD3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750" b="0" strike="noStrike" spc="-1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'Dashboard Data'!$G$1:$G$2</c:f>
              <c:multiLvlStrCache>
                <c:ptCount val="1"/>
                <c:lvl>
                  <c:pt idx="0">
                    <c:v>FY2026A</c:v>
                  </c:pt>
                </c:lvl>
                <c:lvl>
                  <c:pt idx="0">
                    <c:v>FY2025A</c:v>
                  </c:pt>
                </c:lvl>
              </c:multiLvlStrCache>
            </c:multiLvlStrRef>
          </c:cat>
          <c:val>
            <c:numRef>
              <c:f>Analysis!$B$11:$C$11</c:f>
              <c:numCache>
                <c:formatCode>\¥#,##0.0;"(¥"#,##0.0\);\-</c:formatCode>
                <c:ptCount val="2"/>
                <c:pt idx="0">
                  <c:v>4795586</c:v>
                </c:pt>
                <c:pt idx="1">
                  <c:v>3766216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CB-3D4F-B5CA-2778FCB54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2859114"/>
        <c:axId val="96677250"/>
      </c:barChart>
      <c:catAx>
        <c:axId val="1285911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2B2F36"/>
            </a:solidFill>
            <a:round/>
          </a:ln>
        </c:spPr>
        <c:txPr>
          <a:bodyPr/>
          <a:lstStyle/>
          <a:p>
            <a:pPr>
              <a:defRPr sz="850" b="0" strike="noStrike" spc="-1">
                <a:solidFill>
                  <a:srgbClr val="FFFFFF"/>
                </a:solidFill>
                <a:latin typeface="Arial"/>
              </a:defRPr>
            </a:pPr>
            <a:endParaRPr lang="en-US"/>
          </a:p>
        </c:txPr>
        <c:crossAx val="96677250"/>
        <c:crosses val="autoZero"/>
        <c:auto val="1"/>
        <c:lblAlgn val="ctr"/>
        <c:lblOffset val="100"/>
        <c:noMultiLvlLbl val="0"/>
      </c:catAx>
      <c:valAx>
        <c:axId val="96677250"/>
        <c:scaling>
          <c:orientation val="minMax"/>
        </c:scaling>
        <c:delete val="0"/>
        <c:axPos val="l"/>
        <c:numFmt formatCode="\¥#,##0.0;&quot;(¥&quot;#,##0.0\);\-" sourceLinked="1"/>
        <c:majorTickMark val="none"/>
        <c:minorTickMark val="none"/>
        <c:tickLblPos val="nextTo"/>
        <c:spPr>
          <a:ln w="9360">
            <a:solidFill>
              <a:srgbClr val="2B2F36"/>
            </a:solidFill>
            <a:round/>
          </a:ln>
        </c:spPr>
        <c:txPr>
          <a:bodyPr/>
          <a:lstStyle/>
          <a:p>
            <a:pPr>
              <a:defRPr sz="850" b="0" strike="noStrike" spc="-1">
                <a:solidFill>
                  <a:srgbClr val="FFFFFF"/>
                </a:solidFill>
                <a:latin typeface="Arial"/>
              </a:defRPr>
            </a:pPr>
            <a:endParaRPr lang="en-US"/>
          </a:p>
        </c:txPr>
        <c:crossAx val="12859114"/>
        <c:crosses val="autoZero"/>
        <c:crossBetween val="between"/>
      </c:valAx>
      <c:spPr>
        <a:solidFill>
          <a:srgbClr val="0F1114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800" b="0" strike="noStrike" spc="-1">
              <a:solidFill>
                <a:srgbClr val="FFFFFF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0F1114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000" b="1" strike="noStrike" spc="-1">
                <a:solidFill>
                  <a:srgbClr val="FFFFFF"/>
                </a:solidFill>
                <a:latin typeface="Arial"/>
              </a:defRPr>
            </a:pPr>
            <a:r>
              <a:rPr lang="en-US" sz="1000" b="1" strike="noStrike" spc="-1">
                <a:solidFill>
                  <a:srgbClr val="FFFFFF"/>
                </a:solidFill>
                <a:latin typeface="Arial"/>
              </a:rPr>
              <a:t>Revenue Mix, FY2026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'Geographic Data'!C8</c:f>
              <c:strCache>
                <c:ptCount val="1"/>
                <c:pt idx="0">
                  <c:v>Sales 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EB0A1E"/>
              </a:solidFill>
              <a:ln w="0">
                <a:noFill/>
              </a:ln>
            </c:spPr>
          </c:dPt>
          <c:dPt>
            <c:idx val="1"/>
            <c:bubble3D val="0"/>
            <c:spPr>
              <a:solidFill>
                <a:srgbClr val="C9CDD3"/>
              </a:solidFill>
              <a:ln w="0">
                <a:noFill/>
              </a:ln>
            </c:spPr>
          </c:dPt>
          <c:dPt>
            <c:idx val="2"/>
            <c:bubble3D val="0"/>
            <c:spPr>
              <a:solidFill>
                <a:srgbClr val="8C4A50"/>
              </a:solidFill>
              <a:ln w="0">
                <a:noFill/>
              </a:ln>
            </c:spPr>
          </c:dPt>
          <c:dPt>
            <c:idx val="3"/>
            <c:bubble3D val="0"/>
            <c:spPr>
              <a:solidFill>
                <a:srgbClr val="B0343F"/>
              </a:solidFill>
              <a:ln w="0">
                <a:noFill/>
              </a:ln>
            </c:spPr>
          </c:dPt>
          <c:dPt>
            <c:idx val="4"/>
            <c:bubble3D val="0"/>
            <c:spPr>
              <a:solidFill>
                <a:srgbClr val="5C5F66"/>
              </a:solidFill>
              <a:ln w="0">
                <a:noFill/>
              </a:ln>
            </c:spPr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750" b="0" strike="noStrike" spc="-1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'Geographic Data'!$B$9:$B$13</c:f>
              <c:strCache>
                <c:ptCount val="5"/>
                <c:pt idx="0">
                  <c:v>Japan</c:v>
                </c:pt>
                <c:pt idx="1">
                  <c:v>North America</c:v>
                </c:pt>
                <c:pt idx="2">
                  <c:v>Europe</c:v>
                </c:pt>
                <c:pt idx="3">
                  <c:v>Asia</c:v>
                </c:pt>
                <c:pt idx="4">
                  <c:v>Other regions</c:v>
                </c:pt>
              </c:strCache>
            </c:strRef>
          </c:cat>
          <c:val>
            <c:numRef>
              <c:f>'Geographic Data'!$C$9:$C$13</c:f>
              <c:numCache>
                <c:formatCode>General</c:formatCode>
                <c:ptCount val="5"/>
                <c:pt idx="0">
                  <c:v>22074.1</c:v>
                </c:pt>
                <c:pt idx="1">
                  <c:v>21079.599999999999</c:v>
                </c:pt>
                <c:pt idx="2">
                  <c:v>6701.1</c:v>
                </c:pt>
                <c:pt idx="3">
                  <c:v>9271.2999999999993</c:v>
                </c:pt>
                <c:pt idx="4">
                  <c:v>4758.8999999999996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0F-5844-A00F-6DA7492EFF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solidFill>
          <a:srgbClr val="0F1114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800" b="0" strike="noStrike" spc="-1">
              <a:solidFill>
                <a:srgbClr val="FFFFFF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0F1114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000" b="1" strike="noStrike" spc="-1">
                <a:solidFill>
                  <a:srgbClr val="FFFFFF"/>
                </a:solidFill>
                <a:latin typeface="Arial"/>
              </a:defRPr>
            </a:pPr>
            <a:r>
              <a:rPr lang="en-US" sz="1000" b="1" strike="noStrike" spc="-1">
                <a:solidFill>
                  <a:srgbClr val="FFFFFF"/>
                </a:solidFill>
                <a:latin typeface="Arial"/>
              </a:rPr>
              <a:t>Revenue by Region (¥B)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'Geographic Data'!C8</c:f>
              <c:strCache>
                <c:ptCount val="1"/>
                <c:pt idx="0">
                  <c:v>Sales 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B0A1E"/>
              </a:solidFill>
              <a:ln w="0">
                <a:noFill/>
              </a:ln>
            </c:spPr>
          </c:dPt>
          <c:dPt>
            <c:idx val="1"/>
            <c:invertIfNegative val="0"/>
            <c:bubble3D val="0"/>
            <c:spPr>
              <a:solidFill>
                <a:srgbClr val="C9CDD3"/>
              </a:solidFill>
              <a:ln w="0">
                <a:noFill/>
              </a:ln>
            </c:spPr>
          </c:dPt>
          <c:dPt>
            <c:idx val="2"/>
            <c:invertIfNegative val="0"/>
            <c:bubble3D val="0"/>
            <c:spPr>
              <a:solidFill>
                <a:srgbClr val="8C4A50"/>
              </a:solidFill>
              <a:ln w="0">
                <a:noFill/>
              </a:ln>
            </c:spPr>
          </c:dPt>
          <c:dPt>
            <c:idx val="3"/>
            <c:invertIfNegative val="0"/>
            <c:bubble3D val="0"/>
            <c:spPr>
              <a:solidFill>
                <a:srgbClr val="B0343F"/>
              </a:solidFill>
              <a:ln w="0">
                <a:noFill/>
              </a:ln>
            </c:spPr>
          </c:dPt>
          <c:dPt>
            <c:idx val="4"/>
            <c:invertIfNegative val="0"/>
            <c:bubble3D val="0"/>
            <c:spPr>
              <a:solidFill>
                <a:srgbClr val="5C5F66"/>
              </a:solidFill>
              <a:ln w="0">
                <a:noFill/>
              </a:ln>
            </c:spPr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750" b="0" strike="noStrike" spc="-1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'Geographic Data'!$B$9:$B$13</c:f>
              <c:strCache>
                <c:ptCount val="5"/>
                <c:pt idx="0">
                  <c:v>Japan</c:v>
                </c:pt>
                <c:pt idx="1">
                  <c:v>North America</c:v>
                </c:pt>
                <c:pt idx="2">
                  <c:v>Europe</c:v>
                </c:pt>
                <c:pt idx="3">
                  <c:v>Asia</c:v>
                </c:pt>
                <c:pt idx="4">
                  <c:v>Other regions</c:v>
                </c:pt>
              </c:strCache>
            </c:strRef>
          </c:cat>
          <c:val>
            <c:numRef>
              <c:f>'Geographic Data'!$C$9:$C$13</c:f>
              <c:numCache>
                <c:formatCode>General</c:formatCode>
                <c:ptCount val="5"/>
                <c:pt idx="0">
                  <c:v>22074.1</c:v>
                </c:pt>
                <c:pt idx="1">
                  <c:v>21079.599999999999</c:v>
                </c:pt>
                <c:pt idx="2">
                  <c:v>6701.1</c:v>
                </c:pt>
                <c:pt idx="3">
                  <c:v>9271.2999999999993</c:v>
                </c:pt>
                <c:pt idx="4">
                  <c:v>4758.8999999999996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D2-7441-99D5-F6C0DCC471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37591789"/>
        <c:axId val="6248751"/>
      </c:barChart>
      <c:catAx>
        <c:axId val="3759178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2B2F36"/>
            </a:solidFill>
            <a:round/>
          </a:ln>
        </c:spPr>
        <c:txPr>
          <a:bodyPr/>
          <a:lstStyle/>
          <a:p>
            <a:pPr>
              <a:defRPr sz="850" b="0" strike="noStrike" spc="-1">
                <a:solidFill>
                  <a:srgbClr val="FFFFFF"/>
                </a:solidFill>
                <a:latin typeface="Arial"/>
              </a:defRPr>
            </a:pPr>
            <a:endParaRPr lang="en-US"/>
          </a:p>
        </c:txPr>
        <c:crossAx val="6248751"/>
        <c:crosses val="autoZero"/>
        <c:auto val="1"/>
        <c:lblAlgn val="ctr"/>
        <c:lblOffset val="100"/>
        <c:noMultiLvlLbl val="0"/>
      </c:catAx>
      <c:valAx>
        <c:axId val="62487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2B2F36"/>
            </a:solidFill>
            <a:round/>
          </a:ln>
        </c:spPr>
        <c:txPr>
          <a:bodyPr/>
          <a:lstStyle/>
          <a:p>
            <a:pPr>
              <a:defRPr sz="850" b="0" strike="noStrike" spc="-1">
                <a:solidFill>
                  <a:srgbClr val="FFFFFF"/>
                </a:solidFill>
                <a:latin typeface="Arial"/>
              </a:defRPr>
            </a:pPr>
            <a:endParaRPr lang="en-US"/>
          </a:p>
        </c:txPr>
        <c:crossAx val="37591789"/>
        <c:crosses val="autoZero"/>
        <c:crossBetween val="between"/>
      </c:valAx>
      <c:spPr>
        <a:solidFill>
          <a:srgbClr val="0F1114"/>
        </a:solidFill>
        <a:ln w="0">
          <a:noFill/>
        </a:ln>
      </c:spPr>
    </c:plotArea>
    <c:plotVisOnly val="1"/>
    <c:dispBlanksAs val="gap"/>
    <c:showDLblsOverMax val="1"/>
  </c:chart>
  <c:spPr>
    <a:solidFill>
      <a:srgbClr val="0F1114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000" b="1" strike="noStrike" spc="-1">
                <a:solidFill>
                  <a:srgbClr val="FFFFFF"/>
                </a:solidFill>
                <a:latin typeface="Arial"/>
              </a:defRPr>
            </a:pPr>
            <a:r>
              <a:rPr lang="en-US" sz="1000" b="1" strike="noStrike" spc="-1">
                <a:solidFill>
                  <a:srgbClr val="FFFFFF"/>
                </a:solidFill>
                <a:latin typeface="Arial"/>
              </a:rPr>
              <a:t>Op. Margin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Analysis!D27</c:f>
              <c:strCache>
                <c:ptCount val="1"/>
                <c:pt idx="0">
                  <c:v>Operating Margin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3FBF7F"/>
              </a:solidFill>
              <a:ln w="0">
                <a:noFill/>
              </a:ln>
            </c:spPr>
          </c:dPt>
          <c:dPt>
            <c:idx val="1"/>
            <c:invertIfNegative val="0"/>
            <c:bubble3D val="0"/>
            <c:spPr>
              <a:solidFill>
                <a:srgbClr val="FF6B6B"/>
              </a:solidFill>
              <a:ln w="0">
                <a:noFill/>
              </a:ln>
            </c:spPr>
          </c:dPt>
          <c:dPt>
            <c:idx val="2"/>
            <c:invertIfNegative val="0"/>
            <c:bubble3D val="0"/>
            <c:spPr>
              <a:solidFill>
                <a:srgbClr val="3FBF7F"/>
              </a:solidFill>
              <a:ln w="0">
                <a:noFill/>
              </a:ln>
            </c:spPr>
          </c:dPt>
          <c:dPt>
            <c:idx val="3"/>
            <c:invertIfNegative val="0"/>
            <c:bubble3D val="0"/>
            <c:spPr>
              <a:solidFill>
                <a:srgbClr val="3FBF7F"/>
              </a:solidFill>
              <a:ln w="0">
                <a:noFill/>
              </a:ln>
            </c:spPr>
          </c:dPt>
          <c:dPt>
            <c:idx val="4"/>
            <c:invertIfNegative val="0"/>
            <c:bubble3D val="0"/>
            <c:spPr>
              <a:solidFill>
                <a:srgbClr val="3FBF7F"/>
              </a:solidFill>
              <a:ln w="0">
                <a:noFill/>
              </a:ln>
            </c:spPr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750" b="0" strike="noStrike" spc="-1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Analysis!$A$28:$A$32</c:f>
              <c:strCache>
                <c:ptCount val="5"/>
                <c:pt idx="0">
                  <c:v>Japan</c:v>
                </c:pt>
                <c:pt idx="1">
                  <c:v>North America</c:v>
                </c:pt>
                <c:pt idx="2">
                  <c:v>Europe</c:v>
                </c:pt>
                <c:pt idx="3">
                  <c:v>Asia</c:v>
                </c:pt>
                <c:pt idx="4">
                  <c:v>Other regions</c:v>
                </c:pt>
              </c:strCache>
            </c:strRef>
          </c:cat>
          <c:val>
            <c:numRef>
              <c:f>Analysis!$D$28:$D$32</c:f>
              <c:numCache>
                <c:formatCode>0.0%</c:formatCode>
                <c:ptCount val="5"/>
                <c:pt idx="0">
                  <c:v>0.10514584966091484</c:v>
                </c:pt>
                <c:pt idx="1">
                  <c:v>-9.1320518415909224E-3</c:v>
                </c:pt>
                <c:pt idx="2">
                  <c:v>5.3379295936488033E-2</c:v>
                </c:pt>
                <c:pt idx="3">
                  <c:v>9.3816401151942022E-2</c:v>
                </c:pt>
                <c:pt idx="4">
                  <c:v>6.9112610056945939E-2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C7-8B48-A0D6-19DA638220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70551699"/>
        <c:axId val="83957295"/>
      </c:barChart>
      <c:catAx>
        <c:axId val="7055169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2B2F36"/>
            </a:solidFill>
            <a:round/>
          </a:ln>
        </c:spPr>
        <c:txPr>
          <a:bodyPr/>
          <a:lstStyle/>
          <a:p>
            <a:pPr>
              <a:defRPr sz="850" b="0" strike="noStrike" spc="-1">
                <a:solidFill>
                  <a:srgbClr val="FFFFFF"/>
                </a:solidFill>
                <a:latin typeface="Arial"/>
              </a:defRPr>
            </a:pPr>
            <a:endParaRPr lang="en-US"/>
          </a:p>
        </c:txPr>
        <c:crossAx val="83957295"/>
        <c:crosses val="autoZero"/>
        <c:auto val="1"/>
        <c:lblAlgn val="ctr"/>
        <c:lblOffset val="100"/>
        <c:noMultiLvlLbl val="0"/>
      </c:catAx>
      <c:valAx>
        <c:axId val="83957295"/>
        <c:scaling>
          <c:orientation val="minMax"/>
        </c:scaling>
        <c:delete val="0"/>
        <c:axPos val="t"/>
        <c:numFmt formatCode="0.0%" sourceLinked="1"/>
        <c:majorTickMark val="none"/>
        <c:minorTickMark val="none"/>
        <c:tickLblPos val="nextTo"/>
        <c:spPr>
          <a:ln w="9360">
            <a:solidFill>
              <a:srgbClr val="2B2F36"/>
            </a:solidFill>
            <a:round/>
          </a:ln>
        </c:spPr>
        <c:txPr>
          <a:bodyPr/>
          <a:lstStyle/>
          <a:p>
            <a:pPr>
              <a:defRPr sz="850" b="0" strike="noStrike" spc="-1">
                <a:solidFill>
                  <a:srgbClr val="FFFFFF"/>
                </a:solidFill>
                <a:latin typeface="Arial"/>
              </a:defRPr>
            </a:pPr>
            <a:endParaRPr lang="en-US"/>
          </a:p>
        </c:txPr>
        <c:crossAx val="70551699"/>
        <c:crosses val="autoZero"/>
        <c:crossBetween val="between"/>
      </c:valAx>
      <c:spPr>
        <a:solidFill>
          <a:srgbClr val="0F1114"/>
        </a:solidFill>
        <a:ln w="0">
          <a:noFill/>
        </a:ln>
      </c:spPr>
    </c:plotArea>
    <c:plotVisOnly val="1"/>
    <c:dispBlanksAs val="gap"/>
    <c:showDLblsOverMax val="1"/>
  </c:chart>
  <c:spPr>
    <a:solidFill>
      <a:srgbClr val="0F1114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000" b="1" strike="noStrike" spc="-1">
                <a:solidFill>
                  <a:srgbClr val="FFFFFF"/>
                </a:solidFill>
                <a:latin typeface="Arial"/>
              </a:defRPr>
            </a:pPr>
            <a:r>
              <a:rPr lang="en-US" sz="1000" b="1" strike="noStrike" spc="-1">
                <a:solidFill>
                  <a:srgbClr val="FFFFFF"/>
                </a:solidFill>
                <a:latin typeface="Arial"/>
              </a:rPr>
              <a:t>Cash Generation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"Operating Cash Flow (¥M)"</c:f>
              <c:strCache>
                <c:ptCount val="1"/>
                <c:pt idx="0">
                  <c:v>Operating Cash Flow (¥M)</c:v>
                </c:pt>
              </c:strCache>
            </c:strRef>
          </c:tx>
          <c:spPr>
            <a:solidFill>
              <a:srgbClr val="C9CDD3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750" b="0" strike="noStrike" spc="-1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'Dashboard Data'!$G$1:$G$2</c:f>
              <c:multiLvlStrCache>
                <c:ptCount val="1"/>
                <c:lvl>
                  <c:pt idx="0">
                    <c:v>FY2026A</c:v>
                  </c:pt>
                </c:lvl>
                <c:lvl>
                  <c:pt idx="0">
                    <c:v>FY2025A</c:v>
                  </c:pt>
                </c:lvl>
              </c:multiLvlStrCache>
            </c:multiLvlStrRef>
          </c:cat>
          <c:val>
            <c:numRef>
              <c:f>Analysis!$B$14:$C$14</c:f>
              <c:numCache>
                <c:formatCode>\¥#,##0.0;"(¥"#,##0.0\);\-</c:formatCode>
                <c:ptCount val="2"/>
                <c:pt idx="0">
                  <c:v>3696934</c:v>
                </c:pt>
                <c:pt idx="1">
                  <c:v>5472920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E9-0B46-9603-05F0349A8F28}"/>
            </c:ext>
          </c:extLst>
        </c:ser>
        <c:ser>
          <c:idx val="1"/>
          <c:order val="1"/>
          <c:tx>
            <c:strRef>
              <c:f>"Cash &amp; Equivalents (¥M)"</c:f>
              <c:strCache>
                <c:ptCount val="1"/>
                <c:pt idx="0">
                  <c:v>Cash &amp; Equivalents (¥M)</c:v>
                </c:pt>
              </c:strCache>
            </c:strRef>
          </c:tx>
          <c:spPr>
            <a:solidFill>
              <a:srgbClr val="EB0A1E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750" b="0" strike="noStrike" spc="-1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'Dashboard Data'!$G$1:$G$2</c:f>
              <c:multiLvlStrCache>
                <c:ptCount val="1"/>
                <c:lvl>
                  <c:pt idx="0">
                    <c:v>FY2026A</c:v>
                  </c:pt>
                </c:lvl>
                <c:lvl>
                  <c:pt idx="0">
                    <c:v>FY2025A</c:v>
                  </c:pt>
                </c:lvl>
              </c:multiLvlStrCache>
            </c:multiLvlStrRef>
          </c:cat>
          <c:val>
            <c:numRef>
              <c:f>Analysis!$B$15:$C$15</c:f>
              <c:numCache>
                <c:formatCode>\¥#,##0.0;"(¥"#,##0.0\);\-</c:formatCode>
                <c:ptCount val="2"/>
                <c:pt idx="0">
                  <c:v>8982404</c:v>
                </c:pt>
                <c:pt idx="1">
                  <c:v>12659622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E9-0B46-9603-05F0349A8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5801860"/>
        <c:axId val="5003377"/>
      </c:barChart>
      <c:catAx>
        <c:axId val="158018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2B2F36"/>
            </a:solidFill>
            <a:round/>
          </a:ln>
        </c:spPr>
        <c:txPr>
          <a:bodyPr/>
          <a:lstStyle/>
          <a:p>
            <a:pPr>
              <a:defRPr sz="850" b="0" strike="noStrike" spc="-1">
                <a:solidFill>
                  <a:srgbClr val="FFFFFF"/>
                </a:solidFill>
                <a:latin typeface="Arial"/>
              </a:defRPr>
            </a:pPr>
            <a:endParaRPr lang="en-US"/>
          </a:p>
        </c:txPr>
        <c:crossAx val="5003377"/>
        <c:crosses val="autoZero"/>
        <c:auto val="1"/>
        <c:lblAlgn val="ctr"/>
        <c:lblOffset val="100"/>
        <c:noMultiLvlLbl val="0"/>
      </c:catAx>
      <c:valAx>
        <c:axId val="5003377"/>
        <c:scaling>
          <c:orientation val="minMax"/>
        </c:scaling>
        <c:delete val="0"/>
        <c:axPos val="l"/>
        <c:numFmt formatCode="\¥#,##0.0;&quot;(¥&quot;#,##0.0\);\-" sourceLinked="1"/>
        <c:majorTickMark val="none"/>
        <c:minorTickMark val="none"/>
        <c:tickLblPos val="nextTo"/>
        <c:spPr>
          <a:ln w="9360">
            <a:solidFill>
              <a:srgbClr val="2B2F36"/>
            </a:solidFill>
            <a:round/>
          </a:ln>
        </c:spPr>
        <c:txPr>
          <a:bodyPr/>
          <a:lstStyle/>
          <a:p>
            <a:pPr>
              <a:defRPr sz="850" b="0" strike="noStrike" spc="-1">
                <a:solidFill>
                  <a:srgbClr val="FFFFFF"/>
                </a:solidFill>
                <a:latin typeface="Arial"/>
              </a:defRPr>
            </a:pPr>
            <a:endParaRPr lang="en-US"/>
          </a:p>
        </c:txPr>
        <c:crossAx val="15801860"/>
        <c:crosses val="autoZero"/>
        <c:crossBetween val="between"/>
      </c:valAx>
      <c:spPr>
        <a:solidFill>
          <a:srgbClr val="0F1114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800" b="0" strike="noStrike" spc="-1">
              <a:solidFill>
                <a:srgbClr val="FFFFFF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0F1114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000" b="1" strike="noStrike" spc="-1">
                <a:solidFill>
                  <a:srgbClr val="FFFFFF"/>
                </a:solidFill>
                <a:latin typeface="Arial"/>
              </a:defRPr>
            </a:pPr>
            <a:r>
              <a:rPr lang="en-US" sz="1000" b="1" strike="noStrike" spc="-1">
                <a:solidFill>
                  <a:srgbClr val="FFFFFF"/>
                </a:solidFill>
                <a:latin typeface="Arial"/>
              </a:rPr>
              <a:t>YoY Change Summary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'Dashboard Data'!B1</c:f>
              <c:strCache>
                <c:ptCount val="1"/>
                <c:pt idx="0">
                  <c:v>YoY Change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3FBF7F"/>
              </a:solidFill>
              <a:ln w="0">
                <a:noFill/>
              </a:ln>
            </c:spPr>
          </c:dPt>
          <c:dPt>
            <c:idx val="1"/>
            <c:invertIfNegative val="0"/>
            <c:bubble3D val="0"/>
            <c:spPr>
              <a:solidFill>
                <a:srgbClr val="FF6B6B"/>
              </a:solidFill>
              <a:ln w="0">
                <a:noFill/>
              </a:ln>
            </c:spPr>
          </c:dPt>
          <c:dPt>
            <c:idx val="2"/>
            <c:invertIfNegative val="0"/>
            <c:bubble3D val="0"/>
            <c:spPr>
              <a:solidFill>
                <a:srgbClr val="FF6B6B"/>
              </a:solidFill>
              <a:ln w="0">
                <a:noFill/>
              </a:ln>
            </c:spPr>
          </c:dPt>
          <c:dPt>
            <c:idx val="3"/>
            <c:invertIfNegative val="0"/>
            <c:bubble3D val="0"/>
            <c:spPr>
              <a:solidFill>
                <a:srgbClr val="3FBF7F"/>
              </a:solidFill>
              <a:ln w="0">
                <a:noFill/>
              </a:ln>
            </c:spPr>
          </c:dPt>
          <c:dPt>
            <c:idx val="4"/>
            <c:invertIfNegative val="0"/>
            <c:bubble3D val="0"/>
            <c:spPr>
              <a:solidFill>
                <a:srgbClr val="3FBF7F"/>
              </a:solidFill>
              <a:ln w="0">
                <a:noFill/>
              </a:ln>
            </c:spPr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750" b="0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750" b="0" strike="noStrike" spc="-1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'Dashboard Data'!$A$2:$A$6</c:f>
              <c:strCache>
                <c:ptCount val="5"/>
                <c:pt idx="0">
                  <c:v>Sales revenues</c:v>
                </c:pt>
                <c:pt idx="1">
                  <c:v>Operating income</c:v>
                </c:pt>
                <c:pt idx="2">
                  <c:v>Net income</c:v>
                </c:pt>
                <c:pt idx="3">
                  <c:v>Operating cash flow</c:v>
                </c:pt>
                <c:pt idx="4">
                  <c:v>Cash and cash equivalents</c:v>
                </c:pt>
              </c:strCache>
            </c:strRef>
          </c:cat>
          <c:val>
            <c:numRef>
              <c:f>'Dashboard Data'!$B$2:$B$6</c:f>
              <c:numCache>
                <c:formatCode>0.0%</c:formatCode>
                <c:ptCount val="5"/>
                <c:pt idx="0">
                  <c:v>5.5129677506599917E-2</c:v>
                </c:pt>
                <c:pt idx="1">
                  <c:v>-0.21464947140975055</c:v>
                </c:pt>
                <c:pt idx="2">
                  <c:v>-0.19243891925560208</c:v>
                </c:pt>
                <c:pt idx="3">
                  <c:v>0.4803942942990056</c:v>
                </c:pt>
                <c:pt idx="4">
                  <c:v>0.40938016148015599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63-994F-A652-BEAD76605E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8257296"/>
        <c:axId val="23461943"/>
      </c:barChart>
      <c:catAx>
        <c:axId val="1825729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2B2F36"/>
            </a:solidFill>
            <a:round/>
          </a:ln>
        </c:spPr>
        <c:txPr>
          <a:bodyPr/>
          <a:lstStyle/>
          <a:p>
            <a:pPr>
              <a:defRPr sz="850" b="0" strike="noStrike" spc="-1">
                <a:solidFill>
                  <a:srgbClr val="FFFFFF"/>
                </a:solidFill>
                <a:latin typeface="Arial"/>
              </a:defRPr>
            </a:pPr>
            <a:endParaRPr lang="en-US"/>
          </a:p>
        </c:txPr>
        <c:crossAx val="23461943"/>
        <c:crosses val="autoZero"/>
        <c:auto val="1"/>
        <c:lblAlgn val="ctr"/>
        <c:lblOffset val="100"/>
        <c:noMultiLvlLbl val="0"/>
      </c:catAx>
      <c:valAx>
        <c:axId val="23461943"/>
        <c:scaling>
          <c:orientation val="minMax"/>
        </c:scaling>
        <c:delete val="0"/>
        <c:axPos val="t"/>
        <c:numFmt formatCode="0.0%" sourceLinked="1"/>
        <c:majorTickMark val="none"/>
        <c:minorTickMark val="none"/>
        <c:tickLblPos val="nextTo"/>
        <c:spPr>
          <a:ln w="9360">
            <a:solidFill>
              <a:srgbClr val="2B2F36"/>
            </a:solidFill>
            <a:round/>
          </a:ln>
        </c:spPr>
        <c:txPr>
          <a:bodyPr/>
          <a:lstStyle/>
          <a:p>
            <a:pPr>
              <a:defRPr sz="850" b="0" strike="noStrike" spc="-1">
                <a:solidFill>
                  <a:srgbClr val="FFFFFF"/>
                </a:solidFill>
                <a:latin typeface="Arial"/>
              </a:defRPr>
            </a:pPr>
            <a:endParaRPr lang="en-US"/>
          </a:p>
        </c:txPr>
        <c:crossAx val="18257296"/>
        <c:crosses val="autoZero"/>
        <c:crossBetween val="between"/>
      </c:valAx>
      <c:spPr>
        <a:solidFill>
          <a:srgbClr val="0F1114"/>
        </a:solidFill>
        <a:ln w="0">
          <a:noFill/>
        </a:ln>
      </c:spPr>
    </c:plotArea>
    <c:plotVisOnly val="1"/>
    <c:dispBlanksAs val="gap"/>
    <c:showDLblsOverMax val="1"/>
  </c:chart>
  <c:spPr>
    <a:solidFill>
      <a:srgbClr val="0F1114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 /><Relationship Id="rId2" Type="http://schemas.openxmlformats.org/officeDocument/2006/relationships/chart" Target="../charts/chart2.xml" /><Relationship Id="rId1" Type="http://schemas.openxmlformats.org/officeDocument/2006/relationships/chart" Target="../charts/chart1.xml" /><Relationship Id="rId6" Type="http://schemas.openxmlformats.org/officeDocument/2006/relationships/chart" Target="../charts/chart6.xml" /><Relationship Id="rId5" Type="http://schemas.openxmlformats.org/officeDocument/2006/relationships/chart" Target="../charts/chart5.xml" /><Relationship Id="rId4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</xdr:row>
      <xdr:rowOff>0</xdr:rowOff>
    </xdr:from>
    <xdr:to>
      <xdr:col>4</xdr:col>
      <xdr:colOff>901800</xdr:colOff>
      <xdr:row>30</xdr:row>
      <xdr:rowOff>129679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17</xdr:row>
      <xdr:rowOff>0</xdr:rowOff>
    </xdr:from>
    <xdr:to>
      <xdr:col>8</xdr:col>
      <xdr:colOff>901800</xdr:colOff>
      <xdr:row>30</xdr:row>
      <xdr:rowOff>129679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17</xdr:row>
      <xdr:rowOff>0</xdr:rowOff>
    </xdr:from>
    <xdr:to>
      <xdr:col>12</xdr:col>
      <xdr:colOff>901800</xdr:colOff>
      <xdr:row>30</xdr:row>
      <xdr:rowOff>129679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40</xdr:row>
      <xdr:rowOff>0</xdr:rowOff>
    </xdr:from>
    <xdr:to>
      <xdr:col>4</xdr:col>
      <xdr:colOff>901800</xdr:colOff>
      <xdr:row>55</xdr:row>
      <xdr:rowOff>93960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</xdr:col>
      <xdr:colOff>0</xdr:colOff>
      <xdr:row>40</xdr:row>
      <xdr:rowOff>0</xdr:rowOff>
    </xdr:from>
    <xdr:to>
      <xdr:col>8</xdr:col>
      <xdr:colOff>901800</xdr:colOff>
      <xdr:row>55</xdr:row>
      <xdr:rowOff>93960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9</xdr:col>
      <xdr:colOff>0</xdr:colOff>
      <xdr:row>40</xdr:row>
      <xdr:rowOff>0</xdr:rowOff>
    </xdr:from>
    <xdr:to>
      <xdr:col>12</xdr:col>
      <xdr:colOff>901800</xdr:colOff>
      <xdr:row>55</xdr:row>
      <xdr:rowOff>93960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ec.gov/Archives/edgar/data/1094517/000119312526213363/d125424dex991.htm" TargetMode="External" /><Relationship Id="rId13" Type="http://schemas.openxmlformats.org/officeDocument/2006/relationships/hyperlink" Target="https://www.sec.gov/Archives/edgar/data/1094517/000119312526213363/d125424dex991.htm" TargetMode="External" /><Relationship Id="rId3" Type="http://schemas.openxmlformats.org/officeDocument/2006/relationships/hyperlink" Target="https://www.sec.gov/Archives/edgar/data/1094517/000119312526213363/d125424dex991.htm" TargetMode="External" /><Relationship Id="rId7" Type="http://schemas.openxmlformats.org/officeDocument/2006/relationships/hyperlink" Target="https://www.sec.gov/Archives/edgar/data/1094517/000119312526213363/d125424dex991.htm" TargetMode="External" /><Relationship Id="rId12" Type="http://schemas.openxmlformats.org/officeDocument/2006/relationships/hyperlink" Target="https://www.sec.gov/Archives/edgar/data/1094517/000119312526213363/d125424dex991.htm" TargetMode="External" /><Relationship Id="rId2" Type="http://schemas.openxmlformats.org/officeDocument/2006/relationships/hyperlink" Target="https://www.sec.gov/Archives/edgar/data/1094517/000119312526213363/d125424dex991.htm" TargetMode="External" /><Relationship Id="rId1" Type="http://schemas.openxmlformats.org/officeDocument/2006/relationships/hyperlink" Target="https://www.sec.gov/Archives/edgar/data/1094517/000119312526213363/d125424dex991.htm" TargetMode="External" /><Relationship Id="rId6" Type="http://schemas.openxmlformats.org/officeDocument/2006/relationships/hyperlink" Target="https://www.sec.gov/Archives/edgar/data/1094517/000119312526213363/d125424dex991.htm" TargetMode="External" /><Relationship Id="rId11" Type="http://schemas.openxmlformats.org/officeDocument/2006/relationships/hyperlink" Target="https://www.sec.gov/Archives/edgar/data/1094517/000119312526213363/d125424dex991.htm" TargetMode="External" /><Relationship Id="rId5" Type="http://schemas.openxmlformats.org/officeDocument/2006/relationships/hyperlink" Target="https://www.sec.gov/Archives/edgar/data/1094517/000119312526213363/d125424dex991.htm" TargetMode="External" /><Relationship Id="rId15" Type="http://schemas.openxmlformats.org/officeDocument/2006/relationships/comments" Target="../comments1.xml" /><Relationship Id="rId10" Type="http://schemas.openxmlformats.org/officeDocument/2006/relationships/hyperlink" Target="https://www.sec.gov/Archives/edgar/data/1094517/000119312526213363/d125424dex991.htm" TargetMode="External" /><Relationship Id="rId4" Type="http://schemas.openxmlformats.org/officeDocument/2006/relationships/hyperlink" Target="https://www.sec.gov/Archives/edgar/data/1094517/000119312526213363/d125424dex991.htm" TargetMode="External" /><Relationship Id="rId9" Type="http://schemas.openxmlformats.org/officeDocument/2006/relationships/hyperlink" Target="https://www.sec.gov/Archives/edgar/data/1094517/000119312526213363/d125424dex991.htm" TargetMode="External" /><Relationship Id="rId14" Type="http://schemas.openxmlformats.org/officeDocument/2006/relationships/vmlDrawing" Target="../drawings/vmlDrawing1.vml" 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ec.gov/Archives/edgar/data/1094517/000119312526213363/d125424dex991.htm" TargetMode="External" /><Relationship Id="rId2" Type="http://schemas.openxmlformats.org/officeDocument/2006/relationships/hyperlink" Target="https://www.sec.gov/Archives/edgar/data/1094517/000119312526213363/d125424dex991.htm" TargetMode="External" /><Relationship Id="rId1" Type="http://schemas.openxmlformats.org/officeDocument/2006/relationships/hyperlink" Target="https://www.sec.gov/Archives/edgar/data/1094517/000119312526213363/d125424dex991.htm" TargetMode="External" /><Relationship Id="rId5" Type="http://schemas.openxmlformats.org/officeDocument/2006/relationships/hyperlink" Target="https://www.sec.gov/Archives/edgar/data/1094517/000119312526213363/d125424dex991.htm" TargetMode="External" /><Relationship Id="rId4" Type="http://schemas.openxmlformats.org/officeDocument/2006/relationships/hyperlink" Target="https://www.sec.gov/Archives/edgar/data/1094517/000119312526213363/d125424dex991.htm" TargetMode="External" 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global.toyota/en/ir/financial-results/archives/03.html" TargetMode="External" /><Relationship Id="rId1" Type="http://schemas.openxmlformats.org/officeDocument/2006/relationships/hyperlink" Target="https://www.sec.gov/Archives/edgar/data/1094517/000119312526213363/d125424dex991.htm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6"/>
  <sheetViews>
    <sheetView showGridLines="0" topLeftCell="A29" zoomScale="85" zoomScaleNormal="85" workbookViewId="0">
      <selection activeCell="N18" sqref="N18:O19"/>
    </sheetView>
  </sheetViews>
  <sheetFormatPr defaultColWidth="8.7421875" defaultRowHeight="15" x14ac:dyDescent="0.2"/>
  <cols>
    <col min="1" max="1" width="2.015625" customWidth="1"/>
    <col min="2" max="15" width="14.796875" customWidth="1"/>
  </cols>
  <sheetData>
    <row r="1" spans="1:15" ht="4.5" customHeight="1" x14ac:dyDescent="0.2">
      <c r="A1" s="1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</row>
    <row r="2" spans="1:15" ht="27.75" customHeight="1" x14ac:dyDescent="0.2">
      <c r="A2" s="1"/>
      <c r="B2" s="47" t="s">
        <v>0</v>
      </c>
      <c r="C2" s="47"/>
      <c r="D2" s="47"/>
      <c r="E2" s="47"/>
      <c r="F2" s="47"/>
      <c r="G2" s="47"/>
      <c r="H2" s="47"/>
      <c r="I2" s="47"/>
      <c r="J2" s="47"/>
      <c r="K2" s="48" t="s">
        <v>1</v>
      </c>
      <c r="L2" s="48"/>
      <c r="M2" s="48"/>
      <c r="N2" s="48"/>
      <c r="O2" s="48"/>
    </row>
    <row r="3" spans="1:15" ht="15.75" customHeight="1" x14ac:dyDescent="0.2">
      <c r="A3" s="1"/>
      <c r="B3" s="49" t="s">
        <v>2</v>
      </c>
      <c r="C3" s="49"/>
      <c r="D3" s="49"/>
      <c r="E3" s="49"/>
      <c r="F3" s="49"/>
      <c r="G3" s="49"/>
      <c r="H3" s="49"/>
      <c r="I3" s="49"/>
      <c r="J3" s="49"/>
      <c r="K3" s="50" t="s">
        <v>3</v>
      </c>
      <c r="L3" s="50"/>
      <c r="M3" s="50"/>
      <c r="N3" s="50"/>
      <c r="O3" s="50"/>
    </row>
    <row r="4" spans="1:15" ht="6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6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18" customHeight="1" x14ac:dyDescent="0.2">
      <c r="A6" s="1"/>
      <c r="B6" s="51" t="s">
        <v>4</v>
      </c>
      <c r="C6" s="51"/>
      <c r="D6" s="51" t="s">
        <v>5</v>
      </c>
      <c r="E6" s="55"/>
      <c r="F6" s="56" t="s">
        <v>6</v>
      </c>
      <c r="G6" s="56"/>
      <c r="H6" s="51" t="s">
        <v>7</v>
      </c>
      <c r="I6" s="51"/>
      <c r="J6" s="51" t="s">
        <v>8</v>
      </c>
      <c r="K6" s="51"/>
      <c r="L6" s="51" t="s">
        <v>9</v>
      </c>
      <c r="M6" s="51"/>
      <c r="N6" s="51" t="s">
        <v>10</v>
      </c>
      <c r="O6" s="51"/>
    </row>
    <row r="7" spans="1:15" ht="18" customHeight="1" x14ac:dyDescent="0.2">
      <c r="A7" s="1"/>
      <c r="B7" s="52">
        <f>Analysis!C10/1000000</f>
        <v>50.684952000000003</v>
      </c>
      <c r="C7" s="52"/>
      <c r="D7" s="52">
        <f>Analysis!C11/1000000</f>
        <v>3.766216</v>
      </c>
      <c r="E7" s="52"/>
      <c r="F7" s="53">
        <f>Analysis!C13</f>
        <v>7.3999999999999996E-2</v>
      </c>
      <c r="G7" s="53"/>
      <c r="H7" s="52">
        <f>Analysis!C12/1000000</f>
        <v>3.8480979999999998</v>
      </c>
      <c r="I7" s="52"/>
      <c r="J7" s="52">
        <f>Analysis!C14/1000000</f>
        <v>5.4729200000000002</v>
      </c>
      <c r="K7" s="52"/>
      <c r="L7" s="52">
        <f>Analysis!C15/1000000</f>
        <v>12.659622000000001</v>
      </c>
      <c r="M7" s="52"/>
      <c r="N7" s="54">
        <f>Analysis!C16</f>
        <v>9.5950000000000006</v>
      </c>
      <c r="O7" s="54"/>
    </row>
    <row r="8" spans="1:15" ht="18" customHeight="1" x14ac:dyDescent="0.2">
      <c r="A8" s="1"/>
      <c r="B8" s="52"/>
      <c r="C8" s="52"/>
      <c r="D8" s="52"/>
      <c r="E8" s="52"/>
      <c r="F8" s="53"/>
      <c r="G8" s="53"/>
      <c r="H8" s="52"/>
      <c r="I8" s="52"/>
      <c r="J8" s="52"/>
      <c r="K8" s="52"/>
      <c r="L8" s="52"/>
      <c r="M8" s="52"/>
      <c r="N8" s="54"/>
      <c r="O8" s="54"/>
    </row>
    <row r="9" spans="1:15" ht="18" customHeight="1" x14ac:dyDescent="0.2">
      <c r="A9" s="1"/>
      <c r="B9" s="57" t="s">
        <v>11</v>
      </c>
      <c r="C9" s="60"/>
      <c r="D9" s="61" t="s">
        <v>12</v>
      </c>
      <c r="E9" s="61"/>
      <c r="F9" s="61" t="s">
        <v>13</v>
      </c>
      <c r="G9" s="61"/>
      <c r="H9" s="61" t="s">
        <v>14</v>
      </c>
      <c r="I9" s="61"/>
      <c r="J9" s="57" t="s">
        <v>15</v>
      </c>
      <c r="K9" s="57"/>
      <c r="L9" s="57" t="s">
        <v>16</v>
      </c>
      <c r="M9" s="57"/>
      <c r="N9" s="51" t="s">
        <v>17</v>
      </c>
      <c r="O9" s="51"/>
    </row>
    <row r="10" spans="1:15" ht="7.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9.5" customHeight="1" x14ac:dyDescent="0.2">
      <c r="A11" s="1"/>
      <c r="B11" s="58" t="s">
        <v>18</v>
      </c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</row>
    <row r="12" spans="1:15" ht="15.75" customHeight="1" x14ac:dyDescent="0.2">
      <c r="A12" s="1"/>
      <c r="B12" s="59" t="s">
        <v>19</v>
      </c>
      <c r="C12" s="59"/>
      <c r="D12" s="59"/>
      <c r="E12" s="59"/>
      <c r="F12" s="59" t="s">
        <v>20</v>
      </c>
      <c r="G12" s="59"/>
      <c r="H12" s="59"/>
      <c r="I12" s="59"/>
      <c r="J12" s="59" t="s">
        <v>21</v>
      </c>
      <c r="K12" s="59"/>
      <c r="L12" s="59"/>
      <c r="M12" s="59"/>
      <c r="N12" s="59"/>
      <c r="O12" s="59"/>
    </row>
    <row r="13" spans="1:15" ht="13.5" customHeight="1" x14ac:dyDescent="0.2">
      <c r="A13" s="1"/>
      <c r="B13" s="65" t="s">
        <v>22</v>
      </c>
      <c r="C13" s="65"/>
      <c r="D13" s="65"/>
      <c r="E13" s="65"/>
      <c r="F13" s="65" t="s">
        <v>23</v>
      </c>
      <c r="G13" s="65"/>
      <c r="H13" s="65"/>
      <c r="I13" s="65"/>
      <c r="J13" s="65" t="s">
        <v>24</v>
      </c>
      <c r="K13" s="65"/>
      <c r="L13" s="65"/>
      <c r="M13" s="65"/>
      <c r="N13" s="65"/>
      <c r="O13" s="65"/>
    </row>
    <row r="14" spans="1:15" ht="13.5" customHeight="1" x14ac:dyDescent="0.2">
      <c r="A14" s="1"/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</row>
    <row r="15" spans="1:15" ht="13.5" customHeight="1" x14ac:dyDescent="0.2">
      <c r="A15" s="1"/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</row>
    <row r="16" spans="1:15" ht="7.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9.5" customHeight="1" x14ac:dyDescent="0.2">
      <c r="A17" s="1"/>
      <c r="B17" s="58" t="s">
        <v>25</v>
      </c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</row>
    <row r="18" spans="1:15" ht="30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67" t="s">
        <v>121</v>
      </c>
      <c r="O18" s="67"/>
    </row>
    <row r="19" spans="1:15" ht="30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67"/>
      <c r="O19" s="67"/>
    </row>
    <row r="20" spans="1:15" ht="1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66" t="s">
        <v>117</v>
      </c>
      <c r="O20" s="66"/>
    </row>
    <row r="21" spans="1:15" ht="1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66"/>
      <c r="O21" s="66"/>
    </row>
    <row r="22" spans="1:15" ht="1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66"/>
      <c r="O22" s="66"/>
    </row>
    <row r="23" spans="1:15" ht="1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66"/>
      <c r="O23" s="66"/>
    </row>
    <row r="24" spans="1:15" ht="1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66"/>
      <c r="O24" s="66"/>
    </row>
    <row r="25" spans="1:15" ht="1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66"/>
      <c r="O25" s="66"/>
    </row>
    <row r="26" spans="1:15" ht="1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66"/>
      <c r="O26" s="66"/>
    </row>
    <row r="27" spans="1:15" ht="1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63" t="s">
        <v>118</v>
      </c>
      <c r="O27" s="63"/>
    </row>
    <row r="28" spans="1:15" ht="1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63"/>
      <c r="O28" s="63"/>
    </row>
    <row r="29" spans="1:15" ht="1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63"/>
      <c r="O29" s="63"/>
    </row>
    <row r="30" spans="1:15" ht="1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63"/>
      <c r="O30" s="63"/>
    </row>
    <row r="31" spans="1:15" ht="1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63"/>
      <c r="O31" s="63"/>
    </row>
    <row r="32" spans="1:15" ht="1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63"/>
      <c r="O32" s="63"/>
    </row>
    <row r="33" spans="1:15" ht="1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63"/>
      <c r="O33" s="63"/>
    </row>
    <row r="34" spans="1:15" ht="1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7.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9.5" customHeight="1" x14ac:dyDescent="0.2">
      <c r="A40" s="1"/>
      <c r="B40" s="58" t="s">
        <v>26</v>
      </c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</row>
    <row r="41" spans="1:15" ht="1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64" t="s">
        <v>119</v>
      </c>
      <c r="O42" s="64"/>
    </row>
    <row r="43" spans="1:15" ht="1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64"/>
      <c r="O43" s="64"/>
    </row>
    <row r="44" spans="1:15" ht="1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64"/>
      <c r="O44" s="64"/>
    </row>
    <row r="45" spans="1:15" ht="1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64"/>
      <c r="O45" s="64"/>
    </row>
    <row r="46" spans="1:15" ht="1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64"/>
      <c r="O46" s="64"/>
    </row>
    <row r="47" spans="1:15" ht="1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64" t="s">
        <v>120</v>
      </c>
      <c r="O49" s="64"/>
    </row>
    <row r="50" spans="1:15" ht="1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64"/>
      <c r="O50" s="64"/>
    </row>
    <row r="51" spans="1:15" ht="1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64"/>
      <c r="O51" s="64"/>
    </row>
    <row r="52" spans="1:15" ht="1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64"/>
      <c r="O52" s="64"/>
    </row>
    <row r="53" spans="1:15" ht="1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64"/>
      <c r="O53" s="64"/>
    </row>
    <row r="54" spans="1:15" ht="1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64"/>
      <c r="O54" s="64"/>
    </row>
    <row r="55" spans="1:15" ht="1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7.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5.75" customHeight="1" x14ac:dyDescent="0.2">
      <c r="A63" s="1"/>
      <c r="B63" s="62" t="s">
        <v>27</v>
      </c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</row>
    <row r="64" spans="1:15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</sheetData>
  <mergeCells count="41">
    <mergeCell ref="B63:O63"/>
    <mergeCell ref="N27:O33"/>
    <mergeCell ref="N42:O46"/>
    <mergeCell ref="N49:O54"/>
    <mergeCell ref="B13:E15"/>
    <mergeCell ref="F13:I15"/>
    <mergeCell ref="J13:O15"/>
    <mergeCell ref="B17:O17"/>
    <mergeCell ref="B40:O40"/>
    <mergeCell ref="N20:O26"/>
    <mergeCell ref="N18:O19"/>
    <mergeCell ref="L9:M9"/>
    <mergeCell ref="N9:O9"/>
    <mergeCell ref="B11:O11"/>
    <mergeCell ref="B12:E12"/>
    <mergeCell ref="F12:I12"/>
    <mergeCell ref="J12:O12"/>
    <mergeCell ref="B9:C9"/>
    <mergeCell ref="D9:E9"/>
    <mergeCell ref="F9:G9"/>
    <mergeCell ref="H9:I9"/>
    <mergeCell ref="J9:K9"/>
    <mergeCell ref="L6:M6"/>
    <mergeCell ref="N6:O6"/>
    <mergeCell ref="B7:C8"/>
    <mergeCell ref="D7:E8"/>
    <mergeCell ref="F7:G8"/>
    <mergeCell ref="H7:I8"/>
    <mergeCell ref="J7:K8"/>
    <mergeCell ref="L7:M8"/>
    <mergeCell ref="N7:O8"/>
    <mergeCell ref="B6:C6"/>
    <mergeCell ref="D6:E6"/>
    <mergeCell ref="F6:G6"/>
    <mergeCell ref="H6:I6"/>
    <mergeCell ref="J6:K6"/>
    <mergeCell ref="B1:O1"/>
    <mergeCell ref="B2:J2"/>
    <mergeCell ref="K2:O2"/>
    <mergeCell ref="B3:J3"/>
    <mergeCell ref="K3:O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N28"/>
  <sheetViews>
    <sheetView showGridLines="0" zoomScaleNormal="100" workbookViewId="0">
      <selection activeCell="E53" sqref="E53"/>
    </sheetView>
  </sheetViews>
  <sheetFormatPr defaultColWidth="8.7421875" defaultRowHeight="15" x14ac:dyDescent="0.2"/>
  <cols>
    <col min="1" max="1" width="13.98828125" style="2" customWidth="1"/>
    <col min="2" max="2" width="36.9921875" style="2" customWidth="1"/>
    <col min="3" max="3" width="13.98828125" style="2" customWidth="1"/>
    <col min="4" max="4" width="14.9296875" style="2" customWidth="1"/>
    <col min="5" max="5" width="27.98046875" style="2" customWidth="1"/>
    <col min="6" max="6" width="32.95703125" style="2" customWidth="1"/>
    <col min="7" max="8" width="41.96875" style="2" customWidth="1"/>
  </cols>
  <sheetData>
    <row r="3" spans="1:14" ht="20.25" customHeight="1" x14ac:dyDescent="0.25">
      <c r="A3" s="42" t="s">
        <v>28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</row>
    <row r="5" spans="1:14" ht="15" customHeight="1" x14ac:dyDescent="0.2">
      <c r="A5" s="3" t="s">
        <v>29</v>
      </c>
    </row>
    <row r="6" spans="1:14" ht="15" customHeight="1" x14ac:dyDescent="0.2">
      <c r="A6" s="4" t="s">
        <v>30</v>
      </c>
      <c r="E6" s="5"/>
    </row>
    <row r="7" spans="1:14" ht="15" customHeight="1" x14ac:dyDescent="0.2">
      <c r="E7" s="5"/>
      <c r="I7" s="2"/>
      <c r="J7" s="2"/>
      <c r="K7" s="2"/>
      <c r="L7" s="2"/>
      <c r="M7" s="2"/>
    </row>
    <row r="8" spans="1:14" ht="15" customHeight="1" x14ac:dyDescent="0.2">
      <c r="A8" s="6" t="s">
        <v>31</v>
      </c>
      <c r="B8" s="6" t="s">
        <v>32</v>
      </c>
      <c r="C8" s="6" t="s">
        <v>33</v>
      </c>
      <c r="D8" s="6" t="s">
        <v>34</v>
      </c>
      <c r="E8" s="6" t="s">
        <v>35</v>
      </c>
      <c r="F8" s="6" t="s">
        <v>36</v>
      </c>
      <c r="G8" s="7" t="s">
        <v>37</v>
      </c>
      <c r="H8" s="6" t="s">
        <v>38</v>
      </c>
      <c r="I8" s="8"/>
      <c r="J8" s="8"/>
      <c r="K8" s="8"/>
      <c r="L8" s="8"/>
      <c r="M8" s="8"/>
      <c r="N8" s="2"/>
    </row>
    <row r="9" spans="1:14" ht="15" customHeight="1" x14ac:dyDescent="0.2">
      <c r="A9" s="11" t="s">
        <v>17</v>
      </c>
      <c r="B9" s="9" t="s">
        <v>39</v>
      </c>
      <c r="C9" s="10">
        <v>50684952</v>
      </c>
      <c r="D9" s="11" t="s">
        <v>40</v>
      </c>
      <c r="E9" s="11" t="s">
        <v>41</v>
      </c>
      <c r="F9" s="11" t="s">
        <v>42</v>
      </c>
      <c r="G9" s="12" t="s">
        <v>43</v>
      </c>
      <c r="H9" s="13" t="s">
        <v>44</v>
      </c>
      <c r="I9" s="14"/>
      <c r="J9" s="14"/>
      <c r="K9" s="14"/>
      <c r="L9" s="14"/>
      <c r="M9" s="14"/>
      <c r="N9" s="2"/>
    </row>
    <row r="10" spans="1:14" ht="15" customHeight="1" x14ac:dyDescent="0.2">
      <c r="A10" s="11" t="s">
        <v>45</v>
      </c>
      <c r="B10" s="9" t="s">
        <v>39</v>
      </c>
      <c r="C10" s="10">
        <v>48036704</v>
      </c>
      <c r="D10" s="11" t="s">
        <v>40</v>
      </c>
      <c r="E10" s="11" t="s">
        <v>41</v>
      </c>
      <c r="F10" s="11" t="s">
        <v>42</v>
      </c>
      <c r="G10" s="12" t="s">
        <v>46</v>
      </c>
      <c r="H10" s="13" t="s">
        <v>44</v>
      </c>
      <c r="I10" s="14"/>
      <c r="J10" s="14"/>
      <c r="K10" s="14"/>
      <c r="L10" s="14"/>
      <c r="M10" s="14"/>
      <c r="N10" s="2"/>
    </row>
    <row r="11" spans="1:14" ht="15" customHeight="1" x14ac:dyDescent="0.2">
      <c r="A11" s="11" t="s">
        <v>17</v>
      </c>
      <c r="B11" s="9" t="s">
        <v>47</v>
      </c>
      <c r="C11" s="10">
        <v>3766216</v>
      </c>
      <c r="D11" s="11" t="s">
        <v>40</v>
      </c>
      <c r="E11" s="11" t="s">
        <v>41</v>
      </c>
      <c r="F11" s="11" t="s">
        <v>42</v>
      </c>
      <c r="G11" s="12" t="s">
        <v>43</v>
      </c>
      <c r="H11" s="13" t="s">
        <v>44</v>
      </c>
      <c r="I11" s="14"/>
      <c r="J11" s="14"/>
      <c r="K11" s="14"/>
      <c r="L11" s="14"/>
      <c r="M11" s="14"/>
      <c r="N11" s="2"/>
    </row>
    <row r="12" spans="1:14" ht="15" customHeight="1" x14ac:dyDescent="0.2">
      <c r="A12" s="11" t="s">
        <v>45</v>
      </c>
      <c r="B12" s="9" t="s">
        <v>47</v>
      </c>
      <c r="C12" s="10">
        <v>4795586</v>
      </c>
      <c r="D12" s="11" t="s">
        <v>40</v>
      </c>
      <c r="E12" s="11" t="s">
        <v>41</v>
      </c>
      <c r="F12" s="11" t="s">
        <v>42</v>
      </c>
      <c r="G12" s="12" t="s">
        <v>46</v>
      </c>
      <c r="H12" s="13" t="s">
        <v>44</v>
      </c>
      <c r="I12" s="14"/>
      <c r="J12" s="14"/>
      <c r="K12" s="14"/>
      <c r="L12" s="14"/>
      <c r="M12" s="14"/>
      <c r="N12" s="2"/>
    </row>
    <row r="13" spans="1:14" ht="15" customHeight="1" x14ac:dyDescent="0.2">
      <c r="A13" s="11" t="s">
        <v>17</v>
      </c>
      <c r="B13" s="9" t="s">
        <v>48</v>
      </c>
      <c r="C13" s="10">
        <v>3848098</v>
      </c>
      <c r="D13" s="11" t="s">
        <v>40</v>
      </c>
      <c r="E13" s="11" t="s">
        <v>41</v>
      </c>
      <c r="F13" s="11" t="s">
        <v>42</v>
      </c>
      <c r="G13" s="12" t="s">
        <v>43</v>
      </c>
      <c r="H13" s="13" t="s">
        <v>44</v>
      </c>
      <c r="I13" s="14"/>
      <c r="J13" s="14"/>
      <c r="K13" s="14"/>
      <c r="L13" s="14"/>
      <c r="M13" s="14"/>
      <c r="N13" s="2"/>
    </row>
    <row r="14" spans="1:14" ht="15" customHeight="1" x14ac:dyDescent="0.2">
      <c r="A14" s="11" t="s">
        <v>45</v>
      </c>
      <c r="B14" s="9" t="s">
        <v>48</v>
      </c>
      <c r="C14" s="10">
        <v>4765086</v>
      </c>
      <c r="D14" s="11" t="s">
        <v>40</v>
      </c>
      <c r="E14" s="11" t="s">
        <v>41</v>
      </c>
      <c r="F14" s="11" t="s">
        <v>42</v>
      </c>
      <c r="G14" s="12" t="s">
        <v>46</v>
      </c>
      <c r="H14" s="13" t="s">
        <v>44</v>
      </c>
      <c r="I14" s="14"/>
      <c r="J14" s="14"/>
      <c r="K14" s="14"/>
      <c r="L14" s="14"/>
      <c r="M14" s="14"/>
      <c r="N14" s="2"/>
    </row>
    <row r="15" spans="1:14" ht="15" customHeight="1" x14ac:dyDescent="0.2">
      <c r="A15" s="11" t="s">
        <v>17</v>
      </c>
      <c r="B15" s="9" t="s">
        <v>49</v>
      </c>
      <c r="C15" s="15">
        <v>7.3999999999999996E-2</v>
      </c>
      <c r="D15" s="11" t="s">
        <v>50</v>
      </c>
      <c r="E15" s="11" t="s">
        <v>41</v>
      </c>
      <c r="F15" s="11" t="s">
        <v>42</v>
      </c>
      <c r="G15" s="12" t="s">
        <v>51</v>
      </c>
      <c r="H15" s="13" t="s">
        <v>44</v>
      </c>
      <c r="I15" s="14"/>
      <c r="J15" s="14"/>
      <c r="K15" s="14"/>
      <c r="L15" s="14"/>
      <c r="M15" s="14"/>
      <c r="N15" s="2"/>
    </row>
    <row r="16" spans="1:14" ht="15" customHeight="1" x14ac:dyDescent="0.2">
      <c r="A16" s="11" t="s">
        <v>45</v>
      </c>
      <c r="B16" s="9" t="s">
        <v>49</v>
      </c>
      <c r="C16" s="15">
        <v>0.1</v>
      </c>
      <c r="D16" s="11" t="s">
        <v>50</v>
      </c>
      <c r="E16" s="11" t="s">
        <v>41</v>
      </c>
      <c r="F16" s="11" t="s">
        <v>42</v>
      </c>
      <c r="G16" s="12" t="s">
        <v>51</v>
      </c>
      <c r="H16" s="13" t="s">
        <v>44</v>
      </c>
      <c r="I16" s="14"/>
      <c r="J16" s="14"/>
      <c r="K16" s="14"/>
      <c r="L16" s="14"/>
      <c r="M16" s="14"/>
      <c r="N16" s="2"/>
    </row>
    <row r="17" spans="1:14" ht="15" customHeight="1" x14ac:dyDescent="0.2">
      <c r="A17" s="11" t="s">
        <v>17</v>
      </c>
      <c r="B17" s="9" t="s">
        <v>52</v>
      </c>
      <c r="C17" s="10">
        <v>5472920</v>
      </c>
      <c r="D17" s="11" t="s">
        <v>40</v>
      </c>
      <c r="E17" s="11" t="s">
        <v>41</v>
      </c>
      <c r="F17" s="11" t="s">
        <v>42</v>
      </c>
      <c r="G17" s="12" t="s">
        <v>53</v>
      </c>
      <c r="H17" s="13" t="s">
        <v>44</v>
      </c>
      <c r="I17" s="14"/>
      <c r="J17" s="14"/>
      <c r="K17" s="14"/>
      <c r="L17" s="14"/>
      <c r="M17" s="14"/>
      <c r="N17" s="2"/>
    </row>
    <row r="18" spans="1:14" ht="15" customHeight="1" x14ac:dyDescent="0.2">
      <c r="A18" s="11" t="s">
        <v>45</v>
      </c>
      <c r="B18" s="9" t="s">
        <v>52</v>
      </c>
      <c r="C18" s="10">
        <v>3696934</v>
      </c>
      <c r="D18" s="11" t="s">
        <v>40</v>
      </c>
      <c r="E18" s="11" t="s">
        <v>41</v>
      </c>
      <c r="F18" s="11" t="s">
        <v>42</v>
      </c>
      <c r="G18" s="12" t="s">
        <v>54</v>
      </c>
      <c r="H18" s="13" t="s">
        <v>44</v>
      </c>
      <c r="I18" s="14"/>
      <c r="J18" s="14"/>
      <c r="K18" s="14"/>
      <c r="L18" s="14"/>
      <c r="M18" s="14"/>
      <c r="N18" s="2"/>
    </row>
    <row r="19" spans="1:14" ht="15" customHeight="1" x14ac:dyDescent="0.2">
      <c r="A19" s="11" t="s">
        <v>17</v>
      </c>
      <c r="B19" s="9" t="s">
        <v>55</v>
      </c>
      <c r="C19" s="10">
        <v>12659622</v>
      </c>
      <c r="D19" s="11" t="s">
        <v>40</v>
      </c>
      <c r="E19" s="11" t="s">
        <v>41</v>
      </c>
      <c r="F19" s="11" t="s">
        <v>42</v>
      </c>
      <c r="G19" s="12" t="s">
        <v>53</v>
      </c>
      <c r="H19" s="13" t="s">
        <v>44</v>
      </c>
      <c r="I19" s="14"/>
      <c r="J19" s="14"/>
      <c r="K19" s="14"/>
      <c r="L19" s="14"/>
      <c r="M19" s="14"/>
      <c r="N19" s="2"/>
    </row>
    <row r="20" spans="1:14" ht="15" customHeight="1" x14ac:dyDescent="0.2">
      <c r="A20" s="11" t="s">
        <v>45</v>
      </c>
      <c r="B20" s="9" t="s">
        <v>55</v>
      </c>
      <c r="C20" s="10">
        <v>8982404</v>
      </c>
      <c r="D20" s="11" t="s">
        <v>40</v>
      </c>
      <c r="E20" s="11" t="s">
        <v>41</v>
      </c>
      <c r="F20" s="11" t="s">
        <v>42</v>
      </c>
      <c r="G20" s="9" t="s">
        <v>54</v>
      </c>
      <c r="H20" s="13" t="s">
        <v>44</v>
      </c>
      <c r="I20" s="14"/>
      <c r="J20" s="14"/>
      <c r="K20" s="14"/>
      <c r="L20" s="14"/>
      <c r="M20" s="14"/>
      <c r="N20" s="2"/>
    </row>
    <row r="21" spans="1:14" ht="15" customHeight="1" x14ac:dyDescent="0.2">
      <c r="A21" s="11" t="s">
        <v>17</v>
      </c>
      <c r="B21" s="9" t="s">
        <v>56</v>
      </c>
      <c r="C21" s="16">
        <v>9.5950000000000006</v>
      </c>
      <c r="D21" s="11" t="s">
        <v>57</v>
      </c>
      <c r="E21" s="11" t="s">
        <v>58</v>
      </c>
      <c r="F21" s="11" t="s">
        <v>42</v>
      </c>
      <c r="G21" s="9" t="s">
        <v>59</v>
      </c>
      <c r="H21" s="13" t="s">
        <v>44</v>
      </c>
      <c r="I21" s="14"/>
      <c r="J21" s="14"/>
      <c r="K21" s="14"/>
      <c r="L21" s="14"/>
      <c r="M21" s="14"/>
      <c r="N21" s="2"/>
    </row>
    <row r="22" spans="1:14" ht="15" customHeight="1" x14ac:dyDescent="0.2">
      <c r="C22" s="5"/>
      <c r="D22" s="5"/>
      <c r="E22" s="5"/>
      <c r="F22" s="5"/>
      <c r="I22" s="2"/>
      <c r="J22" s="2"/>
      <c r="K22" s="2"/>
      <c r="L22" s="2"/>
      <c r="M22" s="2"/>
    </row>
    <row r="23" spans="1:14" ht="15" customHeight="1" x14ac:dyDescent="0.2">
      <c r="C23" s="5"/>
      <c r="D23" s="5"/>
      <c r="F23" s="5"/>
    </row>
    <row r="24" spans="1:14" ht="15" customHeight="1" x14ac:dyDescent="0.2">
      <c r="C24" s="5"/>
      <c r="D24" s="5"/>
      <c r="F24" s="5"/>
    </row>
    <row r="25" spans="1:14" ht="15" customHeight="1" x14ac:dyDescent="0.2">
      <c r="C25" s="5"/>
      <c r="D25" s="5"/>
      <c r="F25" s="5"/>
    </row>
    <row r="26" spans="1:14" ht="15" customHeight="1" x14ac:dyDescent="0.2">
      <c r="D26" s="5"/>
      <c r="F26" s="5"/>
    </row>
    <row r="27" spans="1:14" ht="15" customHeight="1" x14ac:dyDescent="0.2">
      <c r="D27" s="5"/>
      <c r="F27" s="5"/>
    </row>
    <row r="28" spans="1:14" ht="15" customHeight="1" x14ac:dyDescent="0.2">
      <c r="F28" s="5"/>
    </row>
  </sheetData>
  <mergeCells count="1">
    <mergeCell ref="A3:L3"/>
  </mergeCells>
  <hyperlinks>
    <hyperlink ref="H9" r:id="rId1" xr:uid="{00000000-0004-0000-0100-000000000000}"/>
    <hyperlink ref="H10" r:id="rId2" xr:uid="{00000000-0004-0000-0100-000001000000}"/>
    <hyperlink ref="H11" r:id="rId3" xr:uid="{00000000-0004-0000-0100-000002000000}"/>
    <hyperlink ref="H12" r:id="rId4" xr:uid="{00000000-0004-0000-0100-000003000000}"/>
    <hyperlink ref="H13" r:id="rId5" xr:uid="{00000000-0004-0000-0100-000004000000}"/>
    <hyperlink ref="H14" r:id="rId6" xr:uid="{00000000-0004-0000-0100-000005000000}"/>
    <hyperlink ref="H15" r:id="rId7" xr:uid="{00000000-0004-0000-0100-000006000000}"/>
    <hyperlink ref="H16" r:id="rId8" xr:uid="{00000000-0004-0000-0100-000007000000}"/>
    <hyperlink ref="H17" r:id="rId9" xr:uid="{00000000-0004-0000-0100-000008000000}"/>
    <hyperlink ref="H18" r:id="rId10" xr:uid="{00000000-0004-0000-0100-000009000000}"/>
    <hyperlink ref="H19" r:id="rId11" xr:uid="{00000000-0004-0000-0100-00000A000000}"/>
    <hyperlink ref="H20" r:id="rId12" xr:uid="{00000000-0004-0000-0100-00000B000000}"/>
    <hyperlink ref="H21" r:id="rId13" xr:uid="{00000000-0004-0000-0100-00000C000000}"/>
  </hyperlinks>
  <pageMargins left="0.3" right="0.3" top="1" bottom="1" header="0.511811023622047" footer="0.5"/>
  <pageSetup orientation="landscape" horizontalDpi="300" verticalDpi="300"/>
  <headerFooter>
    <oddFooter>&amp;C&amp;A | Page &amp;P</oddFooter>
  </headerFooter>
  <legacyDrawing r:id="rId1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I13"/>
  <sheetViews>
    <sheetView showGridLines="0" zoomScaleNormal="100" workbookViewId="0">
      <selection activeCell="B20" sqref="B20"/>
    </sheetView>
  </sheetViews>
  <sheetFormatPr defaultColWidth="8.7421875" defaultRowHeight="15" x14ac:dyDescent="0.2"/>
  <cols>
    <col min="1" max="1" width="13.98828125" customWidth="1"/>
    <col min="2" max="3" width="14.9296875" style="2" customWidth="1"/>
    <col min="4" max="4" width="18.0234375" style="2" customWidth="1"/>
    <col min="5" max="5" width="13.98828125" style="2" customWidth="1"/>
    <col min="6" max="6" width="32.95703125" style="2" customWidth="1"/>
    <col min="7" max="7" width="29.0546875" style="2" customWidth="1"/>
    <col min="8" max="8" width="91.4765625" style="2" customWidth="1"/>
  </cols>
  <sheetData>
    <row r="3" spans="1:9" ht="20.25" x14ac:dyDescent="0.25">
      <c r="A3" s="37" t="s">
        <v>60</v>
      </c>
      <c r="B3" s="32"/>
      <c r="C3" s="32"/>
      <c r="D3" s="32"/>
      <c r="E3" s="32"/>
      <c r="F3" s="32"/>
      <c r="G3" s="32"/>
      <c r="H3" s="32"/>
    </row>
    <row r="5" spans="1:9" ht="15" customHeight="1" x14ac:dyDescent="0.2">
      <c r="A5" s="36" t="s">
        <v>61</v>
      </c>
    </row>
    <row r="6" spans="1:9" ht="15" customHeight="1" x14ac:dyDescent="0.2">
      <c r="A6" s="35" t="s">
        <v>62</v>
      </c>
    </row>
    <row r="8" spans="1:9" ht="15" customHeight="1" x14ac:dyDescent="0.2">
      <c r="A8" s="34" t="s">
        <v>31</v>
      </c>
      <c r="B8" s="38" t="s">
        <v>63</v>
      </c>
      <c r="C8" s="38" t="s">
        <v>64</v>
      </c>
      <c r="D8" s="38" t="s">
        <v>65</v>
      </c>
      <c r="E8" s="38" t="s">
        <v>34</v>
      </c>
      <c r="F8" s="38" t="s">
        <v>36</v>
      </c>
      <c r="G8" s="39" t="s">
        <v>37</v>
      </c>
      <c r="H8" s="40" t="s">
        <v>38</v>
      </c>
      <c r="I8" s="2"/>
    </row>
    <row r="9" spans="1:9" ht="15" customHeight="1" x14ac:dyDescent="0.2">
      <c r="A9" s="33" t="s">
        <v>17</v>
      </c>
      <c r="B9" s="12" t="s">
        <v>66</v>
      </c>
      <c r="C9" s="12">
        <v>22074.1</v>
      </c>
      <c r="D9" s="12">
        <v>2321</v>
      </c>
      <c r="E9" s="12" t="s">
        <v>67</v>
      </c>
      <c r="F9" s="12" t="s">
        <v>42</v>
      </c>
      <c r="G9" s="41" t="s">
        <v>68</v>
      </c>
      <c r="H9" s="13" t="s">
        <v>44</v>
      </c>
      <c r="I9" s="2"/>
    </row>
    <row r="10" spans="1:9" ht="15" customHeight="1" x14ac:dyDescent="0.2">
      <c r="A10" s="33" t="s">
        <v>17</v>
      </c>
      <c r="B10" s="12" t="s">
        <v>69</v>
      </c>
      <c r="C10" s="12">
        <v>21079.599999999999</v>
      </c>
      <c r="D10" s="12">
        <v>-192.5</v>
      </c>
      <c r="E10" s="12" t="s">
        <v>67</v>
      </c>
      <c r="F10" s="12" t="s">
        <v>42</v>
      </c>
      <c r="G10" s="41" t="s">
        <v>68</v>
      </c>
      <c r="H10" s="13" t="s">
        <v>44</v>
      </c>
      <c r="I10" s="2"/>
    </row>
    <row r="11" spans="1:9" ht="15" customHeight="1" x14ac:dyDescent="0.2">
      <c r="A11" s="33" t="s">
        <v>17</v>
      </c>
      <c r="B11" s="12" t="s">
        <v>70</v>
      </c>
      <c r="C11" s="12">
        <v>6701.1</v>
      </c>
      <c r="D11" s="12">
        <v>357.7</v>
      </c>
      <c r="E11" s="12" t="s">
        <v>67</v>
      </c>
      <c r="F11" s="12" t="s">
        <v>42</v>
      </c>
      <c r="G11" s="41" t="s">
        <v>68</v>
      </c>
      <c r="H11" s="13" t="s">
        <v>44</v>
      </c>
      <c r="I11" s="2"/>
    </row>
    <row r="12" spans="1:9" ht="15" customHeight="1" x14ac:dyDescent="0.2">
      <c r="A12" s="33" t="s">
        <v>17</v>
      </c>
      <c r="B12" s="12" t="s">
        <v>71</v>
      </c>
      <c r="C12" s="12">
        <v>9271.2999999999993</v>
      </c>
      <c r="D12" s="12">
        <v>869.8</v>
      </c>
      <c r="E12" s="12" t="s">
        <v>67</v>
      </c>
      <c r="F12" s="12" t="s">
        <v>42</v>
      </c>
      <c r="G12" s="41" t="s">
        <v>68</v>
      </c>
      <c r="H12" s="13" t="s">
        <v>44</v>
      </c>
      <c r="I12" s="2"/>
    </row>
    <row r="13" spans="1:9" ht="15" customHeight="1" x14ac:dyDescent="0.2">
      <c r="A13" s="33" t="s">
        <v>17</v>
      </c>
      <c r="B13" s="12" t="s">
        <v>72</v>
      </c>
      <c r="C13" s="12">
        <v>4758.8999999999996</v>
      </c>
      <c r="D13" s="12">
        <v>328.9</v>
      </c>
      <c r="E13" s="12" t="s">
        <v>67</v>
      </c>
      <c r="F13" s="12" t="s">
        <v>42</v>
      </c>
      <c r="G13" s="41" t="s">
        <v>68</v>
      </c>
      <c r="H13" s="13" t="s">
        <v>44</v>
      </c>
      <c r="I13" s="2"/>
    </row>
  </sheetData>
  <hyperlinks>
    <hyperlink ref="H13" r:id="rId1" xr:uid="{00000000-0004-0000-0200-000004000000}"/>
    <hyperlink ref="H12" r:id="rId2" xr:uid="{00000000-0004-0000-0200-000003000000}"/>
    <hyperlink ref="H11" r:id="rId3" xr:uid="{00000000-0004-0000-0200-000002000000}"/>
    <hyperlink ref="H10" r:id="rId4" xr:uid="{00000000-0004-0000-0200-000001000000}"/>
    <hyperlink ref="H9" r:id="rId5" xr:uid="{00000000-0004-0000-0200-000000000000}"/>
  </hyperlinks>
  <pageMargins left="0.3" right="0.3" top="1" bottom="1" header="0.511811023622047" footer="0.5"/>
  <pageSetup orientation="landscape" horizontalDpi="300" verticalDpi="300"/>
  <headerFooter>
    <oddFooter>&amp;C&amp;A | 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L32"/>
  <sheetViews>
    <sheetView showGridLines="0" tabSelected="1" topLeftCell="A2" zoomScaleNormal="100" workbookViewId="0">
      <selection activeCell="A35" sqref="A35"/>
    </sheetView>
  </sheetViews>
  <sheetFormatPr defaultColWidth="8.7421875" defaultRowHeight="15" x14ac:dyDescent="0.2"/>
  <cols>
    <col min="1" max="1" width="25.01953125" style="2" customWidth="1"/>
    <col min="2" max="3" width="18.0234375" style="2" customWidth="1"/>
    <col min="4" max="4" width="16.0078125" style="2" customWidth="1"/>
  </cols>
  <sheetData>
    <row r="3" spans="1:12" ht="20.25" customHeight="1" x14ac:dyDescent="0.25">
      <c r="A3" s="42" t="s">
        <v>73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</row>
    <row r="5" spans="1:12" ht="15" customHeight="1" x14ac:dyDescent="0.2">
      <c r="A5" s="3" t="s">
        <v>74</v>
      </c>
    </row>
    <row r="6" spans="1:12" ht="15" customHeight="1" x14ac:dyDescent="0.2">
      <c r="A6" s="4" t="s">
        <v>75</v>
      </c>
    </row>
    <row r="8" spans="1:12" ht="15" customHeight="1" x14ac:dyDescent="0.2">
      <c r="A8" s="68" t="s">
        <v>76</v>
      </c>
      <c r="B8" s="68"/>
      <c r="C8" s="68"/>
      <c r="D8" s="68"/>
      <c r="E8" s="2"/>
    </row>
    <row r="9" spans="1:12" ht="15" customHeight="1" x14ac:dyDescent="0.2">
      <c r="A9" s="17" t="s">
        <v>32</v>
      </c>
      <c r="B9" s="17" t="s">
        <v>77</v>
      </c>
      <c r="C9" s="17" t="s">
        <v>78</v>
      </c>
      <c r="D9" s="17" t="s">
        <v>79</v>
      </c>
      <c r="E9" s="2"/>
    </row>
    <row r="10" spans="1:12" ht="15" customHeight="1" x14ac:dyDescent="0.2">
      <c r="A10" s="11" t="s">
        <v>39</v>
      </c>
      <c r="B10" s="18">
        <f>'Source Data'!C10</f>
        <v>48036704</v>
      </c>
      <c r="C10" s="18">
        <f>'Source Data'!C9</f>
        <v>50684952</v>
      </c>
      <c r="D10" s="19">
        <f>C10/B10-1</f>
        <v>5.5129677506599917E-2</v>
      </c>
      <c r="E10" s="2"/>
    </row>
    <row r="11" spans="1:12" ht="15" customHeight="1" x14ac:dyDescent="0.2">
      <c r="A11" s="11" t="s">
        <v>47</v>
      </c>
      <c r="B11" s="18">
        <f>'Source Data'!C12</f>
        <v>4795586</v>
      </c>
      <c r="C11" s="18">
        <f>'Source Data'!C11</f>
        <v>3766216</v>
      </c>
      <c r="D11" s="19">
        <f>C11/B11-1</f>
        <v>-0.21464947140975055</v>
      </c>
      <c r="E11" s="2"/>
    </row>
    <row r="12" spans="1:12" ht="15" customHeight="1" x14ac:dyDescent="0.2">
      <c r="A12" s="11" t="s">
        <v>80</v>
      </c>
      <c r="B12" s="18">
        <f>'Source Data'!C14</f>
        <v>4765086</v>
      </c>
      <c r="C12" s="18">
        <f>'Source Data'!C13</f>
        <v>3848098</v>
      </c>
      <c r="D12" s="19">
        <f>C12/B12-1</f>
        <v>-0.19243891925560208</v>
      </c>
      <c r="E12" s="2"/>
    </row>
    <row r="13" spans="1:12" ht="15" customHeight="1" x14ac:dyDescent="0.2">
      <c r="A13" s="11" t="s">
        <v>81</v>
      </c>
      <c r="B13" s="20">
        <f>'Source Data'!C16</f>
        <v>0.1</v>
      </c>
      <c r="C13" s="20">
        <f>'Source Data'!C15</f>
        <v>7.3999999999999996E-2</v>
      </c>
      <c r="D13" s="19">
        <f>C13/B13-1</f>
        <v>-0.26000000000000012</v>
      </c>
      <c r="E13" s="2"/>
    </row>
    <row r="14" spans="1:12" ht="15" customHeight="1" x14ac:dyDescent="0.2">
      <c r="A14" s="11" t="s">
        <v>82</v>
      </c>
      <c r="B14" s="18">
        <f>'Source Data'!C18</f>
        <v>3696934</v>
      </c>
      <c r="C14" s="18">
        <f>'Source Data'!C17</f>
        <v>5472920</v>
      </c>
      <c r="D14" s="19">
        <f>C14/B14-1</f>
        <v>0.4803942942990056</v>
      </c>
      <c r="E14" s="2"/>
    </row>
    <row r="15" spans="1:12" ht="15" customHeight="1" x14ac:dyDescent="0.2">
      <c r="A15" s="11" t="s">
        <v>55</v>
      </c>
      <c r="B15" s="18">
        <f>'Source Data'!C20</f>
        <v>8982404</v>
      </c>
      <c r="C15" s="18">
        <f>'Source Data'!C19</f>
        <v>12659622</v>
      </c>
      <c r="D15" s="19">
        <f>C15/B15-1</f>
        <v>0.40938016148015599</v>
      </c>
      <c r="E15" s="2"/>
    </row>
    <row r="16" spans="1:12" ht="15" customHeight="1" x14ac:dyDescent="0.2">
      <c r="A16" s="11" t="s">
        <v>83</v>
      </c>
      <c r="B16" s="21" t="s">
        <v>84</v>
      </c>
      <c r="C16" s="22">
        <f>'Source Data'!C21</f>
        <v>9.5950000000000006</v>
      </c>
      <c r="D16" s="11" t="s">
        <v>84</v>
      </c>
      <c r="E16" s="2"/>
    </row>
    <row r="26" spans="1:5" ht="15" customHeight="1" x14ac:dyDescent="0.2">
      <c r="A26" s="69" t="s">
        <v>85</v>
      </c>
      <c r="B26" s="69"/>
      <c r="C26" s="69"/>
      <c r="D26" s="69"/>
    </row>
    <row r="27" spans="1:5" ht="15" customHeight="1" x14ac:dyDescent="0.2">
      <c r="A27" s="17" t="s">
        <v>63</v>
      </c>
      <c r="B27" s="17" t="s">
        <v>64</v>
      </c>
      <c r="C27" s="17" t="s">
        <v>65</v>
      </c>
      <c r="D27" s="17" t="s">
        <v>86</v>
      </c>
      <c r="E27" s="2"/>
    </row>
    <row r="28" spans="1:5" ht="15" customHeight="1" x14ac:dyDescent="0.2">
      <c r="A28" s="21" t="str">
        <f>'Geographic Data'!B9</f>
        <v>Japan</v>
      </c>
      <c r="B28" s="18">
        <f>'Geographic Data'!C9</f>
        <v>22074.1</v>
      </c>
      <c r="C28" s="18">
        <f>'Geographic Data'!D9</f>
        <v>2321</v>
      </c>
      <c r="D28" s="19">
        <f>C28/B28</f>
        <v>0.10514584966091484</v>
      </c>
      <c r="E28" s="2"/>
    </row>
    <row r="29" spans="1:5" ht="15" customHeight="1" x14ac:dyDescent="0.2">
      <c r="A29" s="21" t="str">
        <f>'Geographic Data'!B10</f>
        <v>North America</v>
      </c>
      <c r="B29" s="18">
        <f>'Geographic Data'!C10</f>
        <v>21079.599999999999</v>
      </c>
      <c r="C29" s="18">
        <f>'Geographic Data'!D10</f>
        <v>-192.5</v>
      </c>
      <c r="D29" s="19">
        <f>C29/B29</f>
        <v>-9.1320518415909224E-3</v>
      </c>
      <c r="E29" s="2"/>
    </row>
    <row r="30" spans="1:5" ht="15" customHeight="1" x14ac:dyDescent="0.2">
      <c r="A30" s="21" t="str">
        <f>'Geographic Data'!B11</f>
        <v>Europe</v>
      </c>
      <c r="B30" s="18">
        <f>'Geographic Data'!C11</f>
        <v>6701.1</v>
      </c>
      <c r="C30" s="18">
        <f>'Geographic Data'!D11</f>
        <v>357.7</v>
      </c>
      <c r="D30" s="19">
        <f>C30/B30</f>
        <v>5.3379295936488033E-2</v>
      </c>
      <c r="E30" s="2"/>
    </row>
    <row r="31" spans="1:5" ht="15" customHeight="1" x14ac:dyDescent="0.2">
      <c r="A31" s="21" t="str">
        <f>'Geographic Data'!B12</f>
        <v>Asia</v>
      </c>
      <c r="B31" s="18">
        <f>'Geographic Data'!C12</f>
        <v>9271.2999999999993</v>
      </c>
      <c r="C31" s="18">
        <f>'Geographic Data'!D12</f>
        <v>869.8</v>
      </c>
      <c r="D31" s="19">
        <f>C31/B31</f>
        <v>9.3816401151942022E-2</v>
      </c>
      <c r="E31" s="2"/>
    </row>
    <row r="32" spans="1:5" ht="15" customHeight="1" x14ac:dyDescent="0.2">
      <c r="A32" s="21" t="str">
        <f>'Geographic Data'!B13</f>
        <v>Other regions</v>
      </c>
      <c r="B32" s="18">
        <f>'Geographic Data'!C13</f>
        <v>4758.8999999999996</v>
      </c>
      <c r="C32" s="18">
        <f>'Geographic Data'!D13</f>
        <v>328.9</v>
      </c>
      <c r="D32" s="19">
        <f>C32/B32</f>
        <v>6.9112610056945939E-2</v>
      </c>
      <c r="E32" s="2"/>
    </row>
  </sheetData>
  <mergeCells count="3">
    <mergeCell ref="A3:L3"/>
    <mergeCell ref="A8:D8"/>
    <mergeCell ref="A26:D26"/>
  </mergeCells>
  <pageMargins left="0.3" right="0.3" top="1" bottom="1" header="0.511811023622047" footer="0.5"/>
  <pageSetup orientation="landscape" horizontalDpi="300" verticalDpi="300"/>
  <headerFooter>
    <oddFooter>&amp;C&amp;A | 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L15"/>
  <sheetViews>
    <sheetView showGridLines="0" topLeftCell="A3" zoomScaleNormal="100" workbookViewId="0">
      <selection activeCell="I8" sqref="I8"/>
    </sheetView>
  </sheetViews>
  <sheetFormatPr defaultColWidth="8.7421875" defaultRowHeight="15" x14ac:dyDescent="0.2"/>
  <cols>
    <col min="1" max="1" width="27.98046875" style="2" customWidth="1"/>
    <col min="2" max="3" width="18.0234375" style="2" customWidth="1"/>
    <col min="4" max="4" width="14.9296875" style="2" customWidth="1"/>
    <col min="5" max="5" width="41.96875" style="2" customWidth="1"/>
  </cols>
  <sheetData>
    <row r="3" spans="1:12" ht="20.25" customHeight="1" x14ac:dyDescent="0.25">
      <c r="A3" s="42" t="s">
        <v>87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</row>
    <row r="5" spans="1:12" ht="15" customHeight="1" x14ac:dyDescent="0.2">
      <c r="A5" s="3" t="s">
        <v>88</v>
      </c>
    </row>
    <row r="6" spans="1:12" ht="15" customHeight="1" x14ac:dyDescent="0.2">
      <c r="A6" s="4" t="s">
        <v>89</v>
      </c>
    </row>
    <row r="8" spans="1:12" ht="15" customHeight="1" x14ac:dyDescent="0.2">
      <c r="A8" s="17" t="s">
        <v>32</v>
      </c>
      <c r="B8" s="17" t="s">
        <v>77</v>
      </c>
      <c r="C8" s="17" t="s">
        <v>78</v>
      </c>
      <c r="D8" s="17" t="s">
        <v>79</v>
      </c>
      <c r="E8" s="17" t="s">
        <v>90</v>
      </c>
      <c r="F8" s="2"/>
    </row>
    <row r="9" spans="1:12" ht="15" customHeight="1" x14ac:dyDescent="0.2">
      <c r="A9" s="21" t="str">
        <f>Analysis!A10</f>
        <v>Sales revenues</v>
      </c>
      <c r="B9" s="18">
        <f>Analysis!B10</f>
        <v>48036704</v>
      </c>
      <c r="C9" s="18">
        <f>Analysis!C10</f>
        <v>50684952</v>
      </c>
      <c r="D9" s="20">
        <f>Analysis!D10</f>
        <v>5.5129677506599917E-2</v>
      </c>
      <c r="E9" s="11" t="s">
        <v>91</v>
      </c>
      <c r="F9" s="2"/>
    </row>
    <row r="10" spans="1:12" ht="15" customHeight="1" x14ac:dyDescent="0.2">
      <c r="A10" s="21" t="str">
        <f>Analysis!A11</f>
        <v>Operating income</v>
      </c>
      <c r="B10" s="18">
        <f>Analysis!B11</f>
        <v>4795586</v>
      </c>
      <c r="C10" s="18">
        <f>Analysis!C11</f>
        <v>3766216</v>
      </c>
      <c r="D10" s="20">
        <f>Analysis!D11</f>
        <v>-0.21464947140975055</v>
      </c>
      <c r="E10" s="11" t="s">
        <v>91</v>
      </c>
      <c r="F10" s="2"/>
    </row>
    <row r="11" spans="1:12" ht="15" customHeight="1" x14ac:dyDescent="0.2">
      <c r="A11" s="21" t="str">
        <f>Analysis!A12</f>
        <v>Net income</v>
      </c>
      <c r="B11" s="18">
        <f>Analysis!B12</f>
        <v>4765086</v>
      </c>
      <c r="C11" s="18">
        <f>Analysis!C12</f>
        <v>3848098</v>
      </c>
      <c r="D11" s="20">
        <f>Analysis!D12</f>
        <v>-0.19243891925560208</v>
      </c>
      <c r="E11" s="11" t="s">
        <v>91</v>
      </c>
      <c r="F11" s="2"/>
    </row>
    <row r="12" spans="1:12" ht="15" customHeight="1" x14ac:dyDescent="0.2">
      <c r="A12" s="21" t="str">
        <f>Analysis!A13</f>
        <v>Operating margin</v>
      </c>
      <c r="B12" s="20">
        <f>Analysis!B13</f>
        <v>0.1</v>
      </c>
      <c r="C12" s="20">
        <f>Analysis!C13</f>
        <v>7.3999999999999996E-2</v>
      </c>
      <c r="D12" s="20">
        <f>Analysis!D13</f>
        <v>-0.26000000000000012</v>
      </c>
      <c r="E12" s="11" t="s">
        <v>91</v>
      </c>
      <c r="F12" s="2"/>
    </row>
    <row r="13" spans="1:12" ht="15" customHeight="1" x14ac:dyDescent="0.2">
      <c r="A13" s="21" t="str">
        <f>Analysis!A14</f>
        <v>Operating cash flow</v>
      </c>
      <c r="B13" s="18">
        <f>Analysis!B14</f>
        <v>3696934</v>
      </c>
      <c r="C13" s="18">
        <f>Analysis!C14</f>
        <v>5472920</v>
      </c>
      <c r="D13" s="20">
        <f>Analysis!D14</f>
        <v>0.4803942942990056</v>
      </c>
      <c r="E13" s="11" t="s">
        <v>91</v>
      </c>
      <c r="F13" s="2"/>
    </row>
    <row r="14" spans="1:12" ht="15" customHeight="1" x14ac:dyDescent="0.2">
      <c r="A14" s="21" t="str">
        <f>Analysis!A15</f>
        <v>Cash and cash equivalents</v>
      </c>
      <c r="B14" s="18">
        <f>Analysis!B15</f>
        <v>8982404</v>
      </c>
      <c r="C14" s="18">
        <f>Analysis!C15</f>
        <v>12659622</v>
      </c>
      <c r="D14" s="20">
        <f>Analysis!D15</f>
        <v>0.40938016148015599</v>
      </c>
      <c r="E14" s="11" t="s">
        <v>91</v>
      </c>
      <c r="F14" s="2"/>
    </row>
    <row r="15" spans="1:12" ht="15" customHeight="1" x14ac:dyDescent="0.2">
      <c r="A15" s="21" t="str">
        <f>Analysis!A16</f>
        <v>Vehicle unit sales</v>
      </c>
      <c r="B15" s="21" t="str">
        <f>Analysis!B16</f>
        <v>n/a</v>
      </c>
      <c r="C15" s="22">
        <f>Analysis!C16</f>
        <v>9.5950000000000006</v>
      </c>
      <c r="D15" s="21" t="s">
        <v>84</v>
      </c>
      <c r="E15" s="11" t="s">
        <v>91</v>
      </c>
      <c r="F15" s="2"/>
    </row>
  </sheetData>
  <mergeCells count="1">
    <mergeCell ref="A3:L3"/>
  </mergeCells>
  <pageMargins left="0.3" right="0.3" top="1" bottom="1" header="0.511811023622047" footer="0.5"/>
  <pageSetup orientation="landscape" horizontalDpi="300" verticalDpi="300"/>
  <headerFooter>
    <oddFooter>&amp;C&amp;A | 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L13"/>
  <sheetViews>
    <sheetView showGridLines="0" topLeftCell="B1" zoomScaleNormal="100" workbookViewId="0">
      <selection activeCell="B16" sqref="B16"/>
    </sheetView>
  </sheetViews>
  <sheetFormatPr defaultColWidth="8.7421875" defaultRowHeight="15" x14ac:dyDescent="0.2"/>
  <cols>
    <col min="1" max="1" width="29.99609375" style="2" customWidth="1"/>
    <col min="2" max="2" width="59.99609375" style="2" customWidth="1"/>
    <col min="3" max="3" width="20.04296875" style="2" customWidth="1"/>
    <col min="4" max="4" width="23.9453125" style="2" customWidth="1"/>
  </cols>
  <sheetData>
    <row r="3" spans="1:12" ht="20.25" customHeight="1" x14ac:dyDescent="0.25">
      <c r="A3" s="42" t="s">
        <v>92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</row>
    <row r="5" spans="1:12" ht="15" customHeight="1" x14ac:dyDescent="0.2">
      <c r="A5" s="3" t="s">
        <v>93</v>
      </c>
    </row>
    <row r="6" spans="1:12" ht="15" customHeight="1" x14ac:dyDescent="0.2">
      <c r="A6" s="4" t="s">
        <v>94</v>
      </c>
    </row>
    <row r="8" spans="1:12" ht="15" customHeight="1" x14ac:dyDescent="0.2">
      <c r="A8" s="17" t="s">
        <v>95</v>
      </c>
      <c r="B8" s="17" t="s">
        <v>96</v>
      </c>
      <c r="C8" s="17" t="s">
        <v>34</v>
      </c>
      <c r="D8" s="17" t="s">
        <v>35</v>
      </c>
      <c r="E8" s="2"/>
    </row>
    <row r="9" spans="1:12" ht="15" customHeight="1" x14ac:dyDescent="0.2">
      <c r="A9" s="9" t="s">
        <v>39</v>
      </c>
      <c r="B9" s="9" t="s">
        <v>97</v>
      </c>
      <c r="C9" s="9" t="s">
        <v>40</v>
      </c>
      <c r="D9" s="9" t="s">
        <v>41</v>
      </c>
      <c r="E9" s="2"/>
    </row>
    <row r="10" spans="1:12" ht="15" customHeight="1" x14ac:dyDescent="0.2">
      <c r="A10" s="9" t="s">
        <v>47</v>
      </c>
      <c r="B10" s="9" t="s">
        <v>98</v>
      </c>
      <c r="C10" s="9" t="s">
        <v>40</v>
      </c>
      <c r="D10" s="9" t="s">
        <v>41</v>
      </c>
      <c r="E10" s="2"/>
    </row>
    <row r="11" spans="1:12" ht="15" customHeight="1" x14ac:dyDescent="0.2">
      <c r="A11" s="9" t="s">
        <v>81</v>
      </c>
      <c r="B11" s="9" t="s">
        <v>99</v>
      </c>
      <c r="C11" s="9" t="s">
        <v>50</v>
      </c>
      <c r="D11" s="9" t="s">
        <v>41</v>
      </c>
      <c r="E11" s="2"/>
    </row>
    <row r="12" spans="1:12" ht="15" customHeight="1" x14ac:dyDescent="0.2">
      <c r="A12" s="9" t="s">
        <v>83</v>
      </c>
      <c r="B12" s="9" t="s">
        <v>100</v>
      </c>
      <c r="C12" s="9" t="s">
        <v>57</v>
      </c>
      <c r="D12" s="9" t="s">
        <v>101</v>
      </c>
      <c r="E12" s="2"/>
    </row>
    <row r="13" spans="1:12" ht="24.75" customHeight="1" x14ac:dyDescent="0.2">
      <c r="A13" s="9" t="s">
        <v>102</v>
      </c>
      <c r="B13" s="9" t="s">
        <v>103</v>
      </c>
      <c r="C13" s="9" t="s">
        <v>67</v>
      </c>
      <c r="D13" s="9" t="s">
        <v>104</v>
      </c>
      <c r="E13" s="2"/>
    </row>
  </sheetData>
  <mergeCells count="1">
    <mergeCell ref="A3:L3"/>
  </mergeCells>
  <pageMargins left="0.3" right="0.3" top="1" bottom="1" header="0.511811023622047" footer="0.5"/>
  <pageSetup orientation="landscape" horizontalDpi="300" verticalDpi="300"/>
  <headerFooter>
    <oddFooter>&amp;C&amp;A | 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L11"/>
  <sheetViews>
    <sheetView showGridLines="0" zoomScaleNormal="100" workbookViewId="0">
      <selection activeCell="D17" sqref="D17"/>
    </sheetView>
  </sheetViews>
  <sheetFormatPr defaultColWidth="8.7421875" defaultRowHeight="15" x14ac:dyDescent="0.2"/>
  <cols>
    <col min="1" max="1" width="37.93359375" style="2" customWidth="1"/>
    <col min="2" max="2" width="22.05859375" style="2" customWidth="1"/>
    <col min="3" max="3" width="46.00390625" style="2" customWidth="1"/>
    <col min="4" max="4" width="55.01953125" style="2" customWidth="1"/>
  </cols>
  <sheetData>
    <row r="3" spans="1:12" ht="20.25" customHeight="1" x14ac:dyDescent="0.25">
      <c r="A3" s="42" t="s">
        <v>105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</row>
    <row r="5" spans="1:12" ht="15" customHeight="1" x14ac:dyDescent="0.2">
      <c r="A5" s="3" t="s">
        <v>106</v>
      </c>
    </row>
    <row r="6" spans="1:12" ht="15" customHeight="1" x14ac:dyDescent="0.2">
      <c r="A6" s="4" t="s">
        <v>107</v>
      </c>
    </row>
    <row r="7" spans="1:12" ht="15" customHeight="1" x14ac:dyDescent="0.2">
      <c r="E7" s="2"/>
      <c r="F7" s="2"/>
      <c r="G7" s="2"/>
      <c r="H7" s="2"/>
    </row>
    <row r="8" spans="1:12" ht="15" customHeight="1" x14ac:dyDescent="0.2">
      <c r="A8" s="23" t="s">
        <v>36</v>
      </c>
      <c r="B8" s="23" t="s">
        <v>108</v>
      </c>
      <c r="C8" s="23" t="s">
        <v>109</v>
      </c>
      <c r="D8" s="23" t="s">
        <v>110</v>
      </c>
      <c r="E8" s="24"/>
      <c r="F8" s="24"/>
      <c r="G8" s="24"/>
      <c r="H8" s="25"/>
      <c r="I8" s="2"/>
    </row>
    <row r="9" spans="1:12" ht="24.75" customHeight="1" x14ac:dyDescent="0.2">
      <c r="A9" s="26" t="s">
        <v>42</v>
      </c>
      <c r="B9" s="26" t="s">
        <v>111</v>
      </c>
      <c r="C9" s="26" t="s">
        <v>112</v>
      </c>
      <c r="D9" s="43" t="s">
        <v>44</v>
      </c>
      <c r="E9" s="44"/>
      <c r="F9" s="44"/>
      <c r="G9" s="44"/>
      <c r="H9" s="45"/>
      <c r="I9" s="2"/>
    </row>
    <row r="10" spans="1:12" ht="15" customHeight="1" x14ac:dyDescent="0.2">
      <c r="A10" s="27" t="s">
        <v>113</v>
      </c>
      <c r="B10" s="27" t="s">
        <v>114</v>
      </c>
      <c r="C10" s="27" t="s">
        <v>115</v>
      </c>
      <c r="D10" s="28" t="s">
        <v>116</v>
      </c>
      <c r="E10" s="29"/>
      <c r="F10" s="29"/>
      <c r="G10" s="29"/>
      <c r="H10" s="30"/>
      <c r="I10" s="2"/>
    </row>
    <row r="11" spans="1:12" ht="15" customHeight="1" x14ac:dyDescent="0.2">
      <c r="E11" s="2"/>
      <c r="F11" s="2"/>
      <c r="G11" s="2"/>
      <c r="H11" s="2"/>
    </row>
  </sheetData>
  <mergeCells count="2">
    <mergeCell ref="A3:L3"/>
    <mergeCell ref="D9:H9"/>
  </mergeCells>
  <hyperlinks>
    <hyperlink ref="D9" r:id="rId1" xr:uid="{00000000-0004-0000-0600-000000000000}"/>
    <hyperlink ref="D10" r:id="rId2" xr:uid="{00000000-0004-0000-0600-000001000000}"/>
  </hyperlinks>
  <pageMargins left="0.3" right="0.3" top="1" bottom="1" header="0.511811023622047" footer="0.5"/>
  <pageSetup orientation="landscape" horizontalDpi="300" verticalDpi="300"/>
  <headerFooter>
    <oddFooter>&amp;C&amp;A | 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6"/>
  <sheetViews>
    <sheetView zoomScaleNormal="100" workbookViewId="0"/>
  </sheetViews>
  <sheetFormatPr defaultColWidth="8.7421875" defaultRowHeight="15" x14ac:dyDescent="0.2"/>
  <sheetData>
    <row r="1" spans="1:7" x14ac:dyDescent="0.2">
      <c r="A1" t="s">
        <v>32</v>
      </c>
      <c r="B1" t="s">
        <v>79</v>
      </c>
      <c r="G1" t="s">
        <v>77</v>
      </c>
    </row>
    <row r="2" spans="1:7" x14ac:dyDescent="0.2">
      <c r="A2" t="str">
        <f>Analysis!A10</f>
        <v>Sales revenues</v>
      </c>
      <c r="B2" s="31">
        <f>Analysis!D10</f>
        <v>5.5129677506599917E-2</v>
      </c>
      <c r="G2" t="s">
        <v>78</v>
      </c>
    </row>
    <row r="3" spans="1:7" x14ac:dyDescent="0.2">
      <c r="A3" t="str">
        <f>Analysis!A11</f>
        <v>Operating income</v>
      </c>
      <c r="B3" s="31">
        <f>Analysis!D11</f>
        <v>-0.21464947140975055</v>
      </c>
    </row>
    <row r="4" spans="1:7" x14ac:dyDescent="0.2">
      <c r="A4" t="str">
        <f>Analysis!A12</f>
        <v>Net income</v>
      </c>
      <c r="B4" s="31">
        <f>Analysis!D12</f>
        <v>-0.19243891925560208</v>
      </c>
    </row>
    <row r="5" spans="1:7" x14ac:dyDescent="0.2">
      <c r="A5" t="str">
        <f>Analysis!A14</f>
        <v>Operating cash flow</v>
      </c>
      <c r="B5" s="31">
        <f>Analysis!D14</f>
        <v>0.4803942942990056</v>
      </c>
    </row>
    <row r="6" spans="1:7" x14ac:dyDescent="0.2">
      <c r="A6" t="str">
        <f>Analysis!A15</f>
        <v>Cash and cash equivalents</v>
      </c>
      <c r="B6" s="31">
        <f>Analysis!D15</f>
        <v>0.40938016148015599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5</vt:i4>
      </vt:variant>
    </vt:vector>
  </HeadingPairs>
  <TitlesOfParts>
    <vt:vector size="13" baseType="lpstr">
      <vt:lpstr>Executive Dashboard</vt:lpstr>
      <vt:lpstr>Source Data</vt:lpstr>
      <vt:lpstr>Geographic Data</vt:lpstr>
      <vt:lpstr>Analysis</vt:lpstr>
      <vt:lpstr>KPI Summary</vt:lpstr>
      <vt:lpstr>Data Dictionary</vt:lpstr>
      <vt:lpstr>Source Register</vt:lpstr>
      <vt:lpstr>Dashboard Data</vt:lpstr>
      <vt:lpstr>Data Dictionary!Print_Area</vt:lpstr>
      <vt:lpstr>KPI Summary!Print_Area</vt:lpstr>
      <vt:lpstr>Source Data!Print_Area</vt:lpstr>
      <vt:lpstr>Source Register!Print_Area</vt:lpstr>
      <vt:lpstr>Geographic Data!Print_Area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6</cp:revision>
  <dcterms:created xsi:type="dcterms:W3CDTF">2026-08-21T10:40:51Z</dcterms:created>
  <dcterms:modified xsi:type="dcterms:W3CDTF">2026-08-23T19:41:09Z</dcterms:modified>
  <dc:language>en-US</dc:language>
</cp:coreProperties>
</file>